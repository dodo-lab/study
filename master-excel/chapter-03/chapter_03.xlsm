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Home\program\study\master-excel\chapter-03\"/>
    </mc:Choice>
  </mc:AlternateContent>
  <xr:revisionPtr revIDLastSave="0" documentId="13_ncr:1_{B50DFE4F-19E9-4ED4-ADD5-285F9C2308AF}" xr6:coauthVersionLast="47" xr6:coauthVersionMax="47" xr10:uidLastSave="{00000000-0000-0000-0000-000000000000}"/>
  <bookViews>
    <workbookView xWindow="-120" yWindow="-120" windowWidth="29040" windowHeight="15840" activeTab="4" xr2:uid="{D174609C-65B8-411A-8733-FF31F22A3DDC}"/>
  </bookViews>
  <sheets>
    <sheet name="テーブルの構造化参照" sheetId="2" r:id="rId1"/>
    <sheet name="比較" sheetId="3" r:id="rId2"/>
    <sheet name="配列数式の条件式" sheetId="4" r:id="rId3"/>
    <sheet name="日付時刻の計算" sheetId="5" r:id="rId4"/>
    <sheet name="文字列と文字種の操作" sheetId="6" r:id="rId5"/>
  </sheets>
  <externalReferences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6" l="1"/>
  <c r="C11" i="6"/>
  <c r="C10" i="6"/>
  <c r="B12" i="6"/>
  <c r="B11" i="6"/>
  <c r="B10" i="6"/>
  <c r="D6" i="6"/>
  <c r="C5" i="6"/>
  <c r="C4" i="6"/>
  <c r="C3" i="6"/>
  <c r="B5" i="6"/>
  <c r="B4" i="6"/>
  <c r="B3" i="6"/>
  <c r="B34" i="5"/>
  <c r="B33" i="5"/>
  <c r="B32" i="5"/>
  <c r="D28" i="5"/>
  <c r="D27" i="5"/>
  <c r="D26" i="5"/>
  <c r="D25" i="5"/>
  <c r="D24" i="5"/>
  <c r="D23" i="5"/>
  <c r="B28" i="5"/>
  <c r="B27" i="5"/>
  <c r="B26" i="5"/>
  <c r="B25" i="5"/>
  <c r="B24" i="5"/>
  <c r="B23" i="5"/>
  <c r="E16" i="5"/>
  <c r="B11" i="5"/>
  <c r="B19" i="5"/>
  <c r="B18" i="5"/>
  <c r="B17" i="5"/>
  <c r="B16" i="5"/>
  <c r="B15" i="5"/>
  <c r="B14" i="5"/>
  <c r="B13" i="5"/>
  <c r="B12" i="5"/>
  <c r="G7" i="5"/>
  <c r="F7" i="5"/>
  <c r="E7" i="5"/>
  <c r="D7" i="5"/>
  <c r="C7" i="5"/>
  <c r="G3" i="5"/>
  <c r="F3" i="5"/>
  <c r="E3" i="5"/>
  <c r="D3" i="5"/>
  <c r="C3" i="5"/>
  <c r="E26" i="4" a="1"/>
  <c r="E26" i="4" s="1"/>
  <c r="I20" i="4" a="1"/>
  <c r="I20" i="4" s="1"/>
  <c r="C16" i="4" a="1"/>
  <c r="C16" i="4"/>
  <c r="C15" i="4" a="1"/>
  <c r="C15" i="4"/>
  <c r="C14" i="4" a="1"/>
  <c r="C14" i="4"/>
  <c r="C13" i="4" a="1"/>
  <c r="C13" i="4"/>
  <c r="C12" i="4" a="1"/>
  <c r="C12" i="4" s="1"/>
  <c r="H8" i="4" a="1"/>
  <c r="H8" i="4"/>
  <c r="H7" i="4" a="1"/>
  <c r="H7" i="4" s="1"/>
  <c r="H6" i="4" a="1"/>
  <c r="H6" i="4"/>
  <c r="H5" i="4" a="1"/>
  <c r="H5" i="4" s="1"/>
  <c r="G8" i="4" a="1"/>
  <c r="G8" i="4" s="1"/>
  <c r="G7" i="4" a="1"/>
  <c r="G7" i="4"/>
  <c r="G6" i="4" a="1"/>
  <c r="G6" i="4" s="1"/>
  <c r="G5" i="4" a="1"/>
  <c r="G5" i="4" s="1"/>
  <c r="C16" i="3"/>
  <c r="C15" i="3"/>
  <c r="C14" i="3"/>
  <c r="C13" i="3"/>
  <c r="K9" i="3"/>
  <c r="K8" i="3"/>
  <c r="K7" i="3"/>
  <c r="K6" i="3"/>
  <c r="G9" i="3"/>
  <c r="G8" i="3"/>
  <c r="G7" i="3"/>
  <c r="G6" i="3"/>
  <c r="C9" i="3"/>
  <c r="C8" i="3"/>
  <c r="C7" i="3"/>
  <c r="C6" i="3"/>
  <c r="B2" i="3"/>
  <c r="G5" i="2"/>
  <c r="G2" i="2"/>
  <c r="G1" i="2"/>
  <c r="C6" i="2"/>
  <c r="D2" i="2"/>
  <c r="D3" i="2"/>
  <c r="D4" i="2"/>
  <c r="D5" i="2"/>
  <c r="B21" i="6"/>
  <c r="B20" i="6"/>
  <c r="B19" i="6"/>
  <c r="B18" i="6"/>
  <c r="B17" i="6"/>
  <c r="B1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進藤渉</author>
  </authors>
  <commentList>
    <comment ref="H7" authorId="0" shapeId="0" xr:uid="{98D57A12-A1CB-432D-8E1F-9928199B6544}">
      <text>
        <r>
          <rPr>
            <sz val="9"/>
            <color indexed="81"/>
            <rFont val="MS P ゴシック"/>
            <family val="3"/>
            <charset val="128"/>
          </rPr>
          <t>配列数式の場合、数式を入力して
「</t>
        </r>
        <r>
          <rPr>
            <b/>
            <u/>
            <sz val="9"/>
            <color indexed="81"/>
            <rFont val="MS P ゴシック"/>
            <family val="3"/>
            <charset val="128"/>
          </rPr>
          <t>Ctrl + Shift + Enter</t>
        </r>
        <r>
          <rPr>
            <sz val="9"/>
            <color indexed="81"/>
            <rFont val="MS P ゴシック"/>
            <family val="3"/>
            <charset val="128"/>
          </rPr>
          <t>」で確定する必要がある。</t>
        </r>
      </text>
    </comment>
  </commentList>
</comments>
</file>

<file path=xl/sharedStrings.xml><?xml version="1.0" encoding="utf-8"?>
<sst xmlns="http://schemas.openxmlformats.org/spreadsheetml/2006/main" count="175" uniqueCount="114">
  <si>
    <t>ID</t>
  </si>
  <si>
    <t>売上</t>
  </si>
  <si>
    <t>社員名</t>
  </si>
  <si>
    <t>社員名</t>
    <rPh sb="0" eb="2">
      <t>シャイン</t>
    </rPh>
    <rPh sb="2" eb="3">
      <t>メイ</t>
    </rPh>
    <phoneticPr fontId="2"/>
  </si>
  <si>
    <t>集計</t>
  </si>
  <si>
    <t>小林　有紀</t>
  </si>
  <si>
    <t>大塚　隆</t>
  </si>
  <si>
    <t>杉原　塔子</t>
  </si>
  <si>
    <t>石田　達也</t>
  </si>
  <si>
    <t>順位</t>
    <rPh sb="0" eb="2">
      <t>ジュンイ</t>
    </rPh>
    <phoneticPr fontId="2"/>
  </si>
  <si>
    <t>最高売上</t>
    <rPh sb="0" eb="2">
      <t>サイコウ</t>
    </rPh>
    <rPh sb="2" eb="4">
      <t>ウリアゲ</t>
    </rPh>
    <phoneticPr fontId="2"/>
  </si>
  <si>
    <t>合計売上</t>
    <rPh sb="0" eb="2">
      <t>ゴウケイ</t>
    </rPh>
    <rPh sb="2" eb="4">
      <t>ウリアゲ</t>
    </rPh>
    <phoneticPr fontId="2"/>
  </si>
  <si>
    <t>IDで社員検索</t>
    <rPh sb="3" eb="5">
      <t>シャイン</t>
    </rPh>
    <rPh sb="5" eb="7">
      <t>ケンサク</t>
    </rPh>
    <phoneticPr fontId="2"/>
  </si>
  <si>
    <t>日付の比較</t>
    <rPh sb="0" eb="2">
      <t>ヒヅケ</t>
    </rPh>
    <rPh sb="3" eb="5">
      <t>ヒカク</t>
    </rPh>
    <phoneticPr fontId="2"/>
  </si>
  <si>
    <t>文字列１</t>
    <rPh sb="0" eb="3">
      <t>モジレツ</t>
    </rPh>
    <phoneticPr fontId="2"/>
  </si>
  <si>
    <t>文字列２</t>
    <rPh sb="0" eb="3">
      <t>モジレツ</t>
    </rPh>
    <phoneticPr fontId="2"/>
  </si>
  <si>
    <t>判定</t>
    <rPh sb="0" eb="2">
      <t>ハンテイ</t>
    </rPh>
    <phoneticPr fontId="2"/>
  </si>
  <si>
    <t>EXCEL</t>
    <phoneticPr fontId="2"/>
  </si>
  <si>
    <t>excel</t>
    <phoneticPr fontId="2"/>
  </si>
  <si>
    <t>ＥＸＣＥＬ</t>
    <phoneticPr fontId="2"/>
  </si>
  <si>
    <t>エクセル</t>
    <phoneticPr fontId="2"/>
  </si>
  <si>
    <t>ｴｸｾﾙ</t>
    <phoneticPr fontId="2"/>
  </si>
  <si>
    <t>えくせる</t>
    <phoneticPr fontId="2"/>
  </si>
  <si>
    <t>異なる文字種の比較（=）</t>
    <rPh sb="0" eb="1">
      <t>コト</t>
    </rPh>
    <rPh sb="3" eb="6">
      <t>モジシュ</t>
    </rPh>
    <rPh sb="7" eb="9">
      <t>ヒカク</t>
    </rPh>
    <phoneticPr fontId="2"/>
  </si>
  <si>
    <t>異なる文字種の比較（EXACT）</t>
    <rPh sb="7" eb="9">
      <t>ヒカク</t>
    </rPh>
    <phoneticPr fontId="2"/>
  </si>
  <si>
    <t>異なる文字種の比較（JIS）</t>
    <rPh sb="7" eb="9">
      <t>ヒカク</t>
    </rPh>
    <phoneticPr fontId="2"/>
  </si>
  <si>
    <t>住所</t>
    <rPh sb="0" eb="2">
      <t>ジュウショ</t>
    </rPh>
    <phoneticPr fontId="2"/>
  </si>
  <si>
    <t>東京都渋谷区恵比寿</t>
    <rPh sb="0" eb="3">
      <t>トウキョウト</t>
    </rPh>
    <rPh sb="3" eb="6">
      <t>シブヤク</t>
    </rPh>
    <rPh sb="6" eb="9">
      <t>エビス</t>
    </rPh>
    <phoneticPr fontId="2"/>
  </si>
  <si>
    <t>ワイルドカードを使った比較（"東京都*区*"）</t>
    <rPh sb="8" eb="9">
      <t>ツカ</t>
    </rPh>
    <rPh sb="11" eb="13">
      <t>ヒカク</t>
    </rPh>
    <rPh sb="15" eb="17">
      <t>トウキョウ</t>
    </rPh>
    <rPh sb="17" eb="18">
      <t>ト</t>
    </rPh>
    <rPh sb="19" eb="20">
      <t>ク</t>
    </rPh>
    <phoneticPr fontId="2"/>
  </si>
  <si>
    <t>千葉県柏市柏</t>
    <rPh sb="0" eb="3">
      <t>チバケン</t>
    </rPh>
    <rPh sb="3" eb="5">
      <t>カシワシ</t>
    </rPh>
    <rPh sb="5" eb="6">
      <t>カシワ</t>
    </rPh>
    <phoneticPr fontId="2"/>
  </si>
  <si>
    <t>東京都港区芝浦</t>
    <rPh sb="0" eb="3">
      <t>トウキョウト</t>
    </rPh>
    <rPh sb="3" eb="5">
      <t>ミナトク</t>
    </rPh>
    <rPh sb="5" eb="7">
      <t>シバウラ</t>
    </rPh>
    <phoneticPr fontId="2"/>
  </si>
  <si>
    <t>東京都調布市多摩川</t>
    <rPh sb="0" eb="3">
      <t>トウキョウト</t>
    </rPh>
    <rPh sb="3" eb="6">
      <t>チョウフシ</t>
    </rPh>
    <rPh sb="6" eb="9">
      <t>タマガワ</t>
    </rPh>
    <phoneticPr fontId="2"/>
  </si>
  <si>
    <t>配列数式を比較演算に使うことで、条件式を簡潔に記述できる</t>
    <rPh sb="0" eb="2">
      <t>ハイレツ</t>
    </rPh>
    <rPh sb="2" eb="4">
      <t>スウシキ</t>
    </rPh>
    <rPh sb="5" eb="7">
      <t>ヒカク</t>
    </rPh>
    <rPh sb="7" eb="9">
      <t>エンザン</t>
    </rPh>
    <rPh sb="10" eb="11">
      <t>ツカ</t>
    </rPh>
    <rPh sb="16" eb="19">
      <t>ジョウケンシキ</t>
    </rPh>
    <rPh sb="20" eb="22">
      <t>カンケツ</t>
    </rPh>
    <rPh sb="23" eb="25">
      <t>キジュツ</t>
    </rPh>
    <phoneticPr fontId="2"/>
  </si>
  <si>
    <t>連続する複数のセルに同じ条件を指定する（少なくとも１科目が90点以上なら科目賞、全科目90点以上なら優秀賞）</t>
    <rPh sb="0" eb="2">
      <t>レンゾク</t>
    </rPh>
    <rPh sb="4" eb="6">
      <t>フクスウ</t>
    </rPh>
    <rPh sb="10" eb="11">
      <t>オナ</t>
    </rPh>
    <rPh sb="12" eb="14">
      <t>ジョウケン</t>
    </rPh>
    <rPh sb="15" eb="17">
      <t>シテイ</t>
    </rPh>
    <rPh sb="20" eb="21">
      <t>スク</t>
    </rPh>
    <rPh sb="26" eb="28">
      <t>カモク</t>
    </rPh>
    <rPh sb="31" eb="32">
      <t>テン</t>
    </rPh>
    <rPh sb="32" eb="34">
      <t>イジョウ</t>
    </rPh>
    <rPh sb="36" eb="39">
      <t>カモクショウ</t>
    </rPh>
    <rPh sb="40" eb="43">
      <t>ゼンカモク</t>
    </rPh>
    <rPh sb="45" eb="46">
      <t>テン</t>
    </rPh>
    <rPh sb="46" eb="48">
      <t>イジョウ</t>
    </rPh>
    <rPh sb="50" eb="53">
      <t>ユウシュウショウ</t>
    </rPh>
    <phoneticPr fontId="2"/>
  </si>
  <si>
    <t>受験者</t>
    <rPh sb="0" eb="3">
      <t>ジュケンシャ</t>
    </rPh>
    <phoneticPr fontId="2"/>
  </si>
  <si>
    <t>国語</t>
    <rPh sb="0" eb="2">
      <t>コクゴ</t>
    </rPh>
    <phoneticPr fontId="2"/>
  </si>
  <si>
    <t>数学</t>
    <rPh sb="0" eb="2">
      <t>スウガク</t>
    </rPh>
    <phoneticPr fontId="2"/>
  </si>
  <si>
    <t>理科</t>
    <rPh sb="0" eb="2">
      <t>リカ</t>
    </rPh>
    <phoneticPr fontId="2"/>
  </si>
  <si>
    <t>社会</t>
    <rPh sb="0" eb="2">
      <t>シャカイ</t>
    </rPh>
    <phoneticPr fontId="2"/>
  </si>
  <si>
    <t>英語</t>
    <rPh sb="0" eb="2">
      <t>エイゴ</t>
    </rPh>
    <phoneticPr fontId="2"/>
  </si>
  <si>
    <t>科目賞</t>
    <rPh sb="0" eb="3">
      <t>カモクショウ</t>
    </rPh>
    <phoneticPr fontId="2"/>
  </si>
  <si>
    <t>優秀賞</t>
    <rPh sb="0" eb="3">
      <t>ユウシュウショウ</t>
    </rPh>
    <phoneticPr fontId="2"/>
  </si>
  <si>
    <t>市川</t>
    <rPh sb="0" eb="2">
      <t>イチカワ</t>
    </rPh>
    <phoneticPr fontId="2"/>
  </si>
  <si>
    <t>小林</t>
    <rPh sb="0" eb="2">
      <t>コバヤシ</t>
    </rPh>
    <phoneticPr fontId="2"/>
  </si>
  <si>
    <t>菅原</t>
    <rPh sb="0" eb="2">
      <t>スガワラ</t>
    </rPh>
    <phoneticPr fontId="2"/>
  </si>
  <si>
    <t>津田</t>
    <rPh sb="0" eb="2">
      <t>ツダ</t>
    </rPh>
    <phoneticPr fontId="2"/>
  </si>
  <si>
    <t>顧客名</t>
    <rPh sb="0" eb="3">
      <t>コキャクメイ</t>
    </rPh>
    <phoneticPr fontId="2"/>
  </si>
  <si>
    <t>北沢</t>
    <rPh sb="0" eb="2">
      <t>キタザワ</t>
    </rPh>
    <phoneticPr fontId="2"/>
  </si>
  <si>
    <t>都道府県</t>
    <rPh sb="0" eb="4">
      <t>トドウフケン</t>
    </rPh>
    <phoneticPr fontId="2"/>
  </si>
  <si>
    <t>東京都</t>
    <rPh sb="0" eb="3">
      <t>トウキョウト</t>
    </rPh>
    <phoneticPr fontId="2"/>
  </si>
  <si>
    <t>千葉県</t>
    <rPh sb="0" eb="3">
      <t>チバケン</t>
    </rPh>
    <phoneticPr fontId="2"/>
  </si>
  <si>
    <t>群馬県</t>
    <rPh sb="0" eb="3">
      <t>グンマケン</t>
    </rPh>
    <phoneticPr fontId="2"/>
  </si>
  <si>
    <t>埼玉県</t>
    <rPh sb="0" eb="3">
      <t>サイタマケン</t>
    </rPh>
    <phoneticPr fontId="2"/>
  </si>
  <si>
    <t>栃木県</t>
    <rPh sb="0" eb="3">
      <t>トチギケン</t>
    </rPh>
    <phoneticPr fontId="2"/>
  </si>
  <si>
    <t>DM送付</t>
    <rPh sb="2" eb="4">
      <t>ソウフ</t>
    </rPh>
    <phoneticPr fontId="2"/>
  </si>
  <si>
    <t>[DM送付対象]</t>
    <rPh sb="3" eb="5">
      <t>ソウフ</t>
    </rPh>
    <rPh sb="5" eb="7">
      <t>タイショウ</t>
    </rPh>
    <phoneticPr fontId="2"/>
  </si>
  <si>
    <t>セル範囲に入力した複数の条件を指定（東京都、埼玉県、千葉県の顧客にDMを送付）</t>
    <rPh sb="2" eb="4">
      <t>ハンイ</t>
    </rPh>
    <rPh sb="5" eb="7">
      <t>ニュウリョク</t>
    </rPh>
    <rPh sb="9" eb="11">
      <t>フクスウ</t>
    </rPh>
    <rPh sb="12" eb="14">
      <t>ジョウケン</t>
    </rPh>
    <rPh sb="15" eb="17">
      <t>シテイ</t>
    </rPh>
    <rPh sb="18" eb="21">
      <t>トウキョウト</t>
    </rPh>
    <rPh sb="22" eb="25">
      <t>サイタマケン</t>
    </rPh>
    <rPh sb="26" eb="29">
      <t>チバケン</t>
    </rPh>
    <rPh sb="30" eb="32">
      <t>コキャク</t>
    </rPh>
    <rPh sb="36" eb="38">
      <t>ソウフ</t>
    </rPh>
    <phoneticPr fontId="2"/>
  </si>
  <si>
    <t>同じサイズのセル範囲同士を比較（２つの表の同一性チェック）</t>
    <rPh sb="0" eb="1">
      <t>オナ</t>
    </rPh>
    <rPh sb="8" eb="10">
      <t>ハンイ</t>
    </rPh>
    <rPh sb="10" eb="12">
      <t>ドウシ</t>
    </rPh>
    <rPh sb="13" eb="15">
      <t>ヒカク</t>
    </rPh>
    <rPh sb="19" eb="20">
      <t>ヒョウ</t>
    </rPh>
    <rPh sb="21" eb="24">
      <t>ドウイツセイ</t>
    </rPh>
    <phoneticPr fontId="2"/>
  </si>
  <si>
    <t>取引先</t>
    <rPh sb="0" eb="3">
      <t>トリヒキサキ</t>
    </rPh>
    <phoneticPr fontId="2"/>
  </si>
  <si>
    <t>アカネ商事</t>
    <rPh sb="3" eb="5">
      <t>ショウジ</t>
    </rPh>
    <phoneticPr fontId="2"/>
  </si>
  <si>
    <t>担当者</t>
    <rPh sb="0" eb="3">
      <t>タントウシャ</t>
    </rPh>
    <phoneticPr fontId="2"/>
  </si>
  <si>
    <t>小田</t>
    <rPh sb="0" eb="2">
      <t>オダ</t>
    </rPh>
    <phoneticPr fontId="2"/>
  </si>
  <si>
    <t>ダイダイ商事</t>
    <rPh sb="4" eb="6">
      <t>ショウジ</t>
    </rPh>
    <phoneticPr fontId="2"/>
  </si>
  <si>
    <t>竹中</t>
    <rPh sb="0" eb="2">
      <t>タケナカ</t>
    </rPh>
    <phoneticPr fontId="2"/>
  </si>
  <si>
    <t>ヤマブキ商事</t>
    <rPh sb="4" eb="6">
      <t>ショウジ</t>
    </rPh>
    <phoneticPr fontId="2"/>
  </si>
  <si>
    <t>香田</t>
    <rPh sb="0" eb="2">
      <t>コウダ</t>
    </rPh>
    <phoneticPr fontId="2"/>
  </si>
  <si>
    <t>橘</t>
    <rPh sb="0" eb="1">
      <t>タチバナ</t>
    </rPh>
    <phoneticPr fontId="2"/>
  </si>
  <si>
    <t>数値が降順に並んでいるかチェック（年齢の降順チェック）</t>
    <rPh sb="0" eb="2">
      <t>スウチ</t>
    </rPh>
    <rPh sb="3" eb="5">
      <t>コウジュン</t>
    </rPh>
    <rPh sb="6" eb="7">
      <t>ナラ</t>
    </rPh>
    <rPh sb="17" eb="19">
      <t>ネンレイ</t>
    </rPh>
    <rPh sb="20" eb="22">
      <t>コウジュン</t>
    </rPh>
    <phoneticPr fontId="2"/>
  </si>
  <si>
    <t>No</t>
    <phoneticPr fontId="2"/>
  </si>
  <si>
    <t>氏名</t>
    <rPh sb="0" eb="2">
      <t>シメイ</t>
    </rPh>
    <phoneticPr fontId="2"/>
  </si>
  <si>
    <t>年齢</t>
    <rPh sb="0" eb="2">
      <t>ネンレイ</t>
    </rPh>
    <phoneticPr fontId="2"/>
  </si>
  <si>
    <t>基準日</t>
    <rPh sb="0" eb="3">
      <t>キジュンビ</t>
    </rPh>
    <phoneticPr fontId="2"/>
  </si>
  <si>
    <t>前々月</t>
    <rPh sb="0" eb="3">
      <t>ゼンゼンゲツ</t>
    </rPh>
    <phoneticPr fontId="2"/>
  </si>
  <si>
    <t>前月</t>
    <rPh sb="0" eb="2">
      <t>ゼンゲツ</t>
    </rPh>
    <phoneticPr fontId="2"/>
  </si>
  <si>
    <t>今月</t>
    <rPh sb="0" eb="2">
      <t>コンゲツ</t>
    </rPh>
    <phoneticPr fontId="2"/>
  </si>
  <si>
    <t>翌月</t>
    <rPh sb="0" eb="2">
      <t>ヨクゲツ</t>
    </rPh>
    <phoneticPr fontId="2"/>
  </si>
  <si>
    <t>翌々月</t>
    <rPh sb="0" eb="3">
      <t>ヨクヨクゲツ</t>
    </rPh>
    <phoneticPr fontId="2"/>
  </si>
  <si>
    <t>特定の日付を基準日として、月末日を求める（EOMONTH）</t>
    <rPh sb="0" eb="2">
      <t>トクテイ</t>
    </rPh>
    <rPh sb="3" eb="5">
      <t>ヒヅケ</t>
    </rPh>
    <rPh sb="6" eb="8">
      <t>キジュン</t>
    </rPh>
    <rPh sb="8" eb="9">
      <t>ヒ</t>
    </rPh>
    <rPh sb="13" eb="16">
      <t>ゲツマツビ</t>
    </rPh>
    <rPh sb="17" eb="18">
      <t>モト</t>
    </rPh>
    <phoneticPr fontId="2"/>
  </si>
  <si>
    <t>日付</t>
    <rPh sb="0" eb="2">
      <t>ヒヅケ</t>
    </rPh>
    <phoneticPr fontId="2"/>
  </si>
  <si>
    <t>営／休</t>
    <rPh sb="0" eb="1">
      <t>エイ</t>
    </rPh>
    <rPh sb="2" eb="3">
      <t>キュウ</t>
    </rPh>
    <phoneticPr fontId="2"/>
  </si>
  <si>
    <t>予定</t>
    <rPh sb="0" eb="2">
      <t>ヨテイ</t>
    </rPh>
    <phoneticPr fontId="2"/>
  </si>
  <si>
    <t>祝日</t>
    <rPh sb="0" eb="2">
      <t>シュクジツ</t>
    </rPh>
    <phoneticPr fontId="2"/>
  </si>
  <si>
    <t>特定の日付を基準日として、翌月10日の日付を求める（EOMONTH）</t>
    <rPh sb="13" eb="15">
      <t>ヨクゲツ</t>
    </rPh>
    <rPh sb="17" eb="18">
      <t>ニチ</t>
    </rPh>
    <rPh sb="19" eb="21">
      <t>ヒヅケ</t>
    </rPh>
    <rPh sb="22" eb="23">
      <t>モト</t>
    </rPh>
    <phoneticPr fontId="2"/>
  </si>
  <si>
    <t>指定の曜日を定休日として、営業日／休業日を判定する（NETWORKDAYS.INTL）</t>
    <rPh sb="0" eb="2">
      <t>シテイ</t>
    </rPh>
    <rPh sb="3" eb="5">
      <t>ヨウビ</t>
    </rPh>
    <rPh sb="6" eb="9">
      <t>テイキュウビ</t>
    </rPh>
    <rPh sb="13" eb="16">
      <t>エイギョウビ</t>
    </rPh>
    <rPh sb="17" eb="20">
      <t>キュウギョウビ</t>
    </rPh>
    <rPh sb="21" eb="23">
      <t>ハンテイ</t>
    </rPh>
    <phoneticPr fontId="2"/>
  </si>
  <si>
    <t>営業日数</t>
    <rPh sb="0" eb="2">
      <t>エイギョウ</t>
    </rPh>
    <rPh sb="2" eb="4">
      <t>ニッスウ</t>
    </rPh>
    <phoneticPr fontId="2"/>
  </si>
  <si>
    <t>月初と月末の営業日を求める（WORKDAY.INTL）</t>
    <rPh sb="0" eb="2">
      <t>ゲッショ</t>
    </rPh>
    <rPh sb="3" eb="5">
      <t>ゲツマツ</t>
    </rPh>
    <rPh sb="6" eb="9">
      <t>エイギョウビ</t>
    </rPh>
    <rPh sb="10" eb="11">
      <t>モト</t>
    </rPh>
    <phoneticPr fontId="2"/>
  </si>
  <si>
    <t>月</t>
    <rPh sb="0" eb="1">
      <t>ツキ</t>
    </rPh>
    <phoneticPr fontId="2"/>
  </si>
  <si>
    <t>最初の営業日</t>
    <rPh sb="0" eb="2">
      <t>サイショ</t>
    </rPh>
    <rPh sb="3" eb="6">
      <t>エイギョウビ</t>
    </rPh>
    <phoneticPr fontId="2"/>
  </si>
  <si>
    <t>最後の営業日</t>
    <rPh sb="0" eb="2">
      <t>サイゴ</t>
    </rPh>
    <rPh sb="3" eb="6">
      <t>エイギョウビ</t>
    </rPh>
    <phoneticPr fontId="2"/>
  </si>
  <si>
    <t>休日一覧</t>
    <rPh sb="0" eb="2">
      <t>キュウジツ</t>
    </rPh>
    <rPh sb="2" eb="4">
      <t>イチラン</t>
    </rPh>
    <phoneticPr fontId="2"/>
  </si>
  <si>
    <t>第３木曜日</t>
    <rPh sb="0" eb="1">
      <t>ダイ</t>
    </rPh>
    <rPh sb="2" eb="5">
      <t>モクヨウビ</t>
    </rPh>
    <phoneticPr fontId="2"/>
  </si>
  <si>
    <t>毎月 第３木曜日を求める（WORKDAY.INTL）</t>
    <rPh sb="0" eb="2">
      <t>マイツキ</t>
    </rPh>
    <rPh sb="3" eb="4">
      <t>ダイ</t>
    </rPh>
    <rPh sb="5" eb="8">
      <t>モクヨウビ</t>
    </rPh>
    <rPh sb="9" eb="10">
      <t>モト</t>
    </rPh>
    <phoneticPr fontId="2"/>
  </si>
  <si>
    <t>セル内の文字列を置換（SUBSTITUTE / TRIM）</t>
    <rPh sb="2" eb="3">
      <t>ナイ</t>
    </rPh>
    <rPh sb="4" eb="7">
      <t>モジレツ</t>
    </rPh>
    <rPh sb="8" eb="10">
      <t>チカン</t>
    </rPh>
    <phoneticPr fontId="2"/>
  </si>
  <si>
    <t>文字列</t>
    <rPh sb="0" eb="3">
      <t>モジレツ</t>
    </rPh>
    <phoneticPr fontId="2"/>
  </si>
  <si>
    <t>　　鈴木　　　隆</t>
    <rPh sb="2" eb="4">
      <t>スズキ</t>
    </rPh>
    <rPh sb="7" eb="8">
      <t>タカシ</t>
    </rPh>
    <phoneticPr fontId="2"/>
  </si>
  <si>
    <t>斎藤 雅美</t>
    <rPh sb="0" eb="2">
      <t>サイトウ</t>
    </rPh>
    <rPh sb="3" eb="5">
      <t>マサミ</t>
    </rPh>
    <phoneticPr fontId="2"/>
  </si>
  <si>
    <t>松原　恵一</t>
    <rPh sb="0" eb="2">
      <t>マツバラ</t>
    </rPh>
    <rPh sb="3" eb="5">
      <t>ケイイチ</t>
    </rPh>
    <phoneticPr fontId="2"/>
  </si>
  <si>
    <t>空白削除</t>
    <rPh sb="0" eb="2">
      <t>クウハク</t>
    </rPh>
    <rPh sb="2" eb="4">
      <t>サクジョ</t>
    </rPh>
    <phoneticPr fontId="2"/>
  </si>
  <si>
    <t>半角空白を全角空白に置換</t>
    <rPh sb="0" eb="2">
      <t>ハンカク</t>
    </rPh>
    <rPh sb="2" eb="4">
      <t>クウハク</t>
    </rPh>
    <rPh sb="5" eb="7">
      <t>ゼンカク</t>
    </rPh>
    <rPh sb="7" eb="9">
      <t>クウハク</t>
    </rPh>
    <rPh sb="10" eb="12">
      <t>チカン</t>
    </rPh>
    <phoneticPr fontId="2"/>
  </si>
  <si>
    <t>-</t>
    <phoneticPr fontId="2"/>
  </si>
  <si>
    <t>改行を全角空白に置換</t>
    <rPh sb="0" eb="2">
      <t>カイギョウ</t>
    </rPh>
    <rPh sb="3" eb="5">
      <t>ゼンカク</t>
    </rPh>
    <rPh sb="5" eb="7">
      <t>クウハク</t>
    </rPh>
    <rPh sb="8" eb="10">
      <t>チカン</t>
    </rPh>
    <phoneticPr fontId="2"/>
  </si>
  <si>
    <t>営業部
小林裕子</t>
    <rPh sb="0" eb="3">
      <t>エイギョウブ</t>
    </rPh>
    <rPh sb="4" eb="6">
      <t>コバヤシ</t>
    </rPh>
    <rPh sb="6" eb="8">
      <t>ユウコ</t>
    </rPh>
    <phoneticPr fontId="2"/>
  </si>
  <si>
    <t>佐久間　慶</t>
    <rPh sb="0" eb="3">
      <t>サクマ</t>
    </rPh>
    <rPh sb="4" eb="5">
      <t>ケイ</t>
    </rPh>
    <phoneticPr fontId="2"/>
  </si>
  <si>
    <t>布川　奈津子</t>
    <rPh sb="0" eb="2">
      <t>ヌノカワ</t>
    </rPh>
    <rPh sb="3" eb="6">
      <t>ナツコ</t>
    </rPh>
    <phoneticPr fontId="2"/>
  </si>
  <si>
    <t>星　紘一</t>
    <rPh sb="0" eb="1">
      <t>ホシ</t>
    </rPh>
    <rPh sb="2" eb="4">
      <t>コウイチ</t>
    </rPh>
    <phoneticPr fontId="2"/>
  </si>
  <si>
    <t>性</t>
    <rPh sb="0" eb="1">
      <t>セイ</t>
    </rPh>
    <phoneticPr fontId="2"/>
  </si>
  <si>
    <t>名</t>
    <rPh sb="0" eb="1">
      <t>メイ</t>
    </rPh>
    <phoneticPr fontId="2"/>
  </si>
  <si>
    <t>氏名を性と名に分解（LEFT / MID / FIND / LEN）</t>
    <rPh sb="0" eb="2">
      <t>シメイ</t>
    </rPh>
    <rPh sb="3" eb="4">
      <t>セイ</t>
    </rPh>
    <rPh sb="5" eb="6">
      <t>メイ</t>
    </rPh>
    <rPh sb="7" eb="9">
      <t>ブンカイ</t>
    </rPh>
    <phoneticPr fontId="2"/>
  </si>
  <si>
    <t>ひらがな／カタカナを変換（VBAで独自APIを作成）</t>
    <rPh sb="10" eb="12">
      <t>ヘンカン</t>
    </rPh>
    <rPh sb="17" eb="19">
      <t>ドクジ</t>
    </rPh>
    <rPh sb="23" eb="25">
      <t>サクセイ</t>
    </rPh>
    <phoneticPr fontId="2"/>
  </si>
  <si>
    <t>変換前</t>
    <rPh sb="0" eb="3">
      <t>ヘンカンマエ</t>
    </rPh>
    <phoneticPr fontId="2"/>
  </si>
  <si>
    <t>変換後</t>
    <rPh sb="0" eb="2">
      <t>ヘンカン</t>
    </rPh>
    <rPh sb="2" eb="3">
      <t>ゴ</t>
    </rPh>
    <phoneticPr fontId="2"/>
  </si>
  <si>
    <t>あいうえお</t>
    <phoneticPr fontId="2"/>
  </si>
  <si>
    <t>カキクケコ</t>
    <phoneticPr fontId="2"/>
  </si>
  <si>
    <t>ｻｼｽｾｿ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</si>
</sst>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 "/>
    <numFmt numFmtId="177" formatCode="yyyy/m/d;@"/>
    <numFmt numFmtId="178" formatCode="yyyy/m/d\(aaa\)"/>
    <numFmt numFmtId="179" formatCode="0&quot; 日&quot;"/>
    <numFmt numFmtId="180" formatCode="yyyy/m"/>
    <numFmt numFmtId="181" formatCode="yyyy/m/d\ \(aaa\)"/>
  </numFmts>
  <fonts count="9"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1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11"/>
      <color rgb="FFFF0000"/>
      <name val="メイリオ"/>
      <family val="2"/>
      <charset val="128"/>
    </font>
    <font>
      <sz val="11"/>
      <color theme="1"/>
      <name val="メイリオ"/>
      <family val="3"/>
      <charset val="128"/>
    </font>
    <font>
      <sz val="9"/>
      <color indexed="81"/>
      <name val="MS P ゴシック"/>
      <family val="3"/>
      <charset val="128"/>
    </font>
    <font>
      <b/>
      <u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6" fillId="0" borderId="0" xfId="0" applyFont="1">
      <alignment vertical="center"/>
    </xf>
    <xf numFmtId="0" fontId="0" fillId="0" borderId="0" xfId="0" applyFill="1" applyBorder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0" fontId="4" fillId="0" borderId="0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180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81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4">
    <dxf>
      <numFmt numFmtId="0" formatCode="General"/>
    </dxf>
    <dxf>
      <numFmt numFmtId="176" formatCode="#,##0_ 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ujet/AppData/Local/Packages/Microsoft.Office.Desktop_8wekyb3d8bbwe/LocalCache/Roaming/Microsoft/AddIns/MyFunction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HIRAGANAW"/>
      <definedName name="KATAKANAN"/>
      <definedName name="KATAKANAW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8BE035-1436-458B-8C65-FE73E30FE556}" name="社員テーブル" displayName="社員テーブル" ref="A1:D6" totalsRowCount="1">
  <autoFilter ref="A1:D5" xr:uid="{FD8BE035-1436-458B-8C65-FE73E30FE556}"/>
  <tableColumns count="4">
    <tableColumn id="4" xr3:uid="{3149F575-7730-4BA9-9995-6C6F2AF86FF8}" name="ID" totalsRowLabel="集計" dataDxfId="3"/>
    <tableColumn id="2" xr3:uid="{B6E89241-A0D8-464F-BEAB-5C8358ADDC59}" name="社員名" dataDxfId="2"/>
    <tableColumn id="3" xr3:uid="{A56C955A-FCD8-41D2-8CDB-751492459235}" name="売上" totalsRowFunction="sum" dataDxfId="1"/>
    <tableColumn id="10" xr3:uid="{E4FC247E-C4EF-440C-8876-54C72CD10C94}" name="順位" dataDxfId="0">
      <calculatedColumnFormula>_xlfn.RANK.EQ(社員テーブル[[#This Row],[売上]], 社員テーブル[売上])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9D712-950C-46D8-870E-71A7F4BA306A}">
  <sheetPr codeName="Sheet1"/>
  <dimension ref="A1:G6"/>
  <sheetViews>
    <sheetView showGridLines="0" workbookViewId="0">
      <selection activeCell="B9" sqref="B9"/>
    </sheetView>
  </sheetViews>
  <sheetFormatPr defaultRowHeight="18.75"/>
  <cols>
    <col min="1" max="1" width="7.77734375" customWidth="1"/>
    <col min="2" max="2" width="18.77734375" customWidth="1"/>
    <col min="3" max="3" width="11" customWidth="1"/>
    <col min="5" max="5" width="3.44140625" customWidth="1"/>
    <col min="6" max="6" width="17.77734375" customWidth="1"/>
    <col min="7" max="7" width="11.44140625" customWidth="1"/>
  </cols>
  <sheetData>
    <row r="1" spans="1:7">
      <c r="A1" s="1" t="s">
        <v>0</v>
      </c>
      <c r="B1" s="1" t="s">
        <v>2</v>
      </c>
      <c r="C1" s="1" t="s">
        <v>1</v>
      </c>
      <c r="D1" t="s">
        <v>9</v>
      </c>
      <c r="F1" s="4" t="s">
        <v>10</v>
      </c>
      <c r="G1" s="5">
        <f>MAX(社員テーブル[売上])</f>
        <v>2000</v>
      </c>
    </row>
    <row r="2" spans="1:7">
      <c r="A2" s="1">
        <v>1</v>
      </c>
      <c r="B2" s="1" t="s">
        <v>5</v>
      </c>
      <c r="C2" s="3">
        <v>1500</v>
      </c>
      <c r="D2" s="1">
        <f>_xlfn.RANK.EQ(社員テーブル[[#This Row],[売上]], 社員テーブル[売上])</f>
        <v>2</v>
      </c>
      <c r="F2" s="6" t="s">
        <v>11</v>
      </c>
      <c r="G2" s="5">
        <f>社員テーブル[[#Totals], [売上]]</f>
        <v>5000</v>
      </c>
    </row>
    <row r="3" spans="1:7">
      <c r="A3" s="1">
        <v>2</v>
      </c>
      <c r="B3" s="1" t="s">
        <v>6</v>
      </c>
      <c r="C3" s="3">
        <v>500</v>
      </c>
      <c r="D3" s="1">
        <f>_xlfn.RANK.EQ(社員テーブル[[#This Row],[売上]], 社員テーブル[売上])</f>
        <v>4</v>
      </c>
      <c r="F3" s="2"/>
    </row>
    <row r="4" spans="1:7">
      <c r="A4" s="1">
        <v>3</v>
      </c>
      <c r="B4" s="1" t="s">
        <v>7</v>
      </c>
      <c r="C4" s="3">
        <v>2000</v>
      </c>
      <c r="D4" s="1">
        <f>_xlfn.RANK.EQ(社員テーブル[[#This Row],[売上]], 社員テーブル[売上])</f>
        <v>1</v>
      </c>
      <c r="F4" s="6" t="s">
        <v>12</v>
      </c>
      <c r="G4" s="7">
        <v>2</v>
      </c>
    </row>
    <row r="5" spans="1:7">
      <c r="A5" s="1">
        <v>4</v>
      </c>
      <c r="B5" s="1" t="s">
        <v>8</v>
      </c>
      <c r="C5" s="3">
        <v>1000</v>
      </c>
      <c r="D5" s="1">
        <f>_xlfn.RANK.EQ(社員テーブル[[#This Row],[売上]], 社員テーブル[売上])</f>
        <v>3</v>
      </c>
      <c r="F5" s="6" t="s">
        <v>3</v>
      </c>
      <c r="G5" s="7" t="str">
        <f>VLOOKUP(G4, 社員テーブル[], 2, FALSE)</f>
        <v>大塚　隆</v>
      </c>
    </row>
    <row r="6" spans="1:7">
      <c r="A6" t="s">
        <v>4</v>
      </c>
      <c r="C6" s="3">
        <f>SUBTOTAL(109,社員テーブル[売上])</f>
        <v>5000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A902F-CC1C-461C-9183-3DB7D2CA7D69}">
  <sheetPr codeName="Sheet2"/>
  <dimension ref="A1:K16"/>
  <sheetViews>
    <sheetView showGridLines="0" workbookViewId="0"/>
  </sheetViews>
  <sheetFormatPr defaultRowHeight="18.75"/>
  <cols>
    <col min="1" max="1" width="12.44140625" customWidth="1"/>
    <col min="2" max="2" width="11.6640625" customWidth="1"/>
    <col min="3" max="3" width="8.88671875" customWidth="1"/>
    <col min="5" max="5" width="12.109375" customWidth="1"/>
    <col min="6" max="6" width="12.6640625" customWidth="1"/>
    <col min="9" max="9" width="12.109375" customWidth="1"/>
    <col min="10" max="10" width="12.6640625" customWidth="1"/>
  </cols>
  <sheetData>
    <row r="1" spans="1:11">
      <c r="A1" s="8" t="s">
        <v>13</v>
      </c>
    </row>
    <row r="2" spans="1:11">
      <c r="A2" s="9">
        <v>44450</v>
      </c>
      <c r="B2" t="b">
        <f>A2=DATE(2021,9,11)</f>
        <v>1</v>
      </c>
    </row>
    <row r="4" spans="1:11">
      <c r="A4" s="8" t="s">
        <v>23</v>
      </c>
      <c r="E4" s="8" t="s">
        <v>24</v>
      </c>
      <c r="I4" s="8" t="s">
        <v>25</v>
      </c>
    </row>
    <row r="5" spans="1:11">
      <c r="A5" s="4" t="s">
        <v>14</v>
      </c>
      <c r="B5" s="4" t="s">
        <v>15</v>
      </c>
      <c r="C5" s="4" t="s">
        <v>16</v>
      </c>
      <c r="E5" s="4" t="s">
        <v>14</v>
      </c>
      <c r="F5" s="4" t="s">
        <v>15</v>
      </c>
      <c r="G5" s="4" t="s">
        <v>16</v>
      </c>
      <c r="I5" s="4" t="s">
        <v>14</v>
      </c>
      <c r="J5" s="4" t="s">
        <v>15</v>
      </c>
      <c r="K5" s="4" t="s">
        <v>16</v>
      </c>
    </row>
    <row r="6" spans="1:11">
      <c r="A6" s="7" t="s">
        <v>17</v>
      </c>
      <c r="B6" s="7" t="s">
        <v>18</v>
      </c>
      <c r="C6" s="7" t="b">
        <f>A6=B6</f>
        <v>1</v>
      </c>
      <c r="E6" s="7" t="s">
        <v>17</v>
      </c>
      <c r="F6" s="7" t="s">
        <v>18</v>
      </c>
      <c r="G6" s="7" t="b">
        <f>EXACT(E6,F6)</f>
        <v>0</v>
      </c>
      <c r="I6" s="7" t="s">
        <v>17</v>
      </c>
      <c r="J6" s="7" t="s">
        <v>18</v>
      </c>
      <c r="K6" s="7" t="b">
        <f>DBCS(I6)=DBCS(J6)</f>
        <v>1</v>
      </c>
    </row>
    <row r="7" spans="1:11">
      <c r="A7" s="7" t="s">
        <v>19</v>
      </c>
      <c r="B7" s="7" t="s">
        <v>17</v>
      </c>
      <c r="C7" s="7" t="b">
        <f>A7=B7</f>
        <v>0</v>
      </c>
      <c r="E7" s="7" t="s">
        <v>19</v>
      </c>
      <c r="F7" s="7" t="s">
        <v>17</v>
      </c>
      <c r="G7" s="7" t="b">
        <f>EXACT(E7,F7)</f>
        <v>0</v>
      </c>
      <c r="I7" s="7" t="s">
        <v>19</v>
      </c>
      <c r="J7" s="7" t="s">
        <v>17</v>
      </c>
      <c r="K7" s="7" t="b">
        <f>DBCS(I7)=DBCS(J7)</f>
        <v>1</v>
      </c>
    </row>
    <row r="8" spans="1:11">
      <c r="A8" s="7" t="s">
        <v>20</v>
      </c>
      <c r="B8" s="7" t="s">
        <v>21</v>
      </c>
      <c r="C8" s="7" t="b">
        <f>A8=B8</f>
        <v>0</v>
      </c>
      <c r="E8" s="7" t="s">
        <v>20</v>
      </c>
      <c r="F8" s="7" t="s">
        <v>21</v>
      </c>
      <c r="G8" s="7" t="b">
        <f>EXACT(E8,F8)</f>
        <v>0</v>
      </c>
      <c r="I8" s="7" t="s">
        <v>20</v>
      </c>
      <c r="J8" s="7" t="s">
        <v>21</v>
      </c>
      <c r="K8" s="7" t="b">
        <f>DBCS(I8)=DBCS(J8)</f>
        <v>1</v>
      </c>
    </row>
    <row r="9" spans="1:11">
      <c r="A9" s="7" t="s">
        <v>22</v>
      </c>
      <c r="B9" s="7" t="s">
        <v>20</v>
      </c>
      <c r="C9" s="7" t="b">
        <f>A9=B9</f>
        <v>0</v>
      </c>
      <c r="E9" s="7" t="s">
        <v>22</v>
      </c>
      <c r="F9" s="7" t="s">
        <v>20</v>
      </c>
      <c r="G9" s="7" t="b">
        <f>EXACT(E9,F9)</f>
        <v>0</v>
      </c>
      <c r="I9" s="7" t="s">
        <v>22</v>
      </c>
      <c r="J9" s="7" t="s">
        <v>20</v>
      </c>
      <c r="K9" s="7" t="b">
        <f>DBCS(I9)=DBCS(J9)</f>
        <v>0</v>
      </c>
    </row>
    <row r="11" spans="1:11">
      <c r="A11" s="8" t="s">
        <v>28</v>
      </c>
    </row>
    <row r="12" spans="1:11">
      <c r="A12" s="27" t="s">
        <v>26</v>
      </c>
      <c r="B12" s="28"/>
      <c r="C12" s="4" t="s">
        <v>16</v>
      </c>
    </row>
    <row r="13" spans="1:11">
      <c r="A13" s="29" t="s">
        <v>27</v>
      </c>
      <c r="B13" s="29"/>
      <c r="C13" s="7" t="b">
        <f>COUNTIF(A13, "東京都*区*")=1</f>
        <v>1</v>
      </c>
    </row>
    <row r="14" spans="1:11">
      <c r="A14" s="29" t="s">
        <v>29</v>
      </c>
      <c r="B14" s="29"/>
      <c r="C14" s="7" t="b">
        <f>COUNTIF(A14, "東京都*区*")=1</f>
        <v>0</v>
      </c>
    </row>
    <row r="15" spans="1:11">
      <c r="A15" s="30" t="s">
        <v>30</v>
      </c>
      <c r="B15" s="30"/>
      <c r="C15" s="7" t="b">
        <f>COUNTIF(A15, "東京都*区*")=1</f>
        <v>1</v>
      </c>
    </row>
    <row r="16" spans="1:11">
      <c r="A16" s="30" t="s">
        <v>31</v>
      </c>
      <c r="B16" s="30"/>
      <c r="C16" s="7" t="b">
        <f>COUNTIF(A16, "東京都*区*")=1</f>
        <v>0</v>
      </c>
    </row>
  </sheetData>
  <mergeCells count="5">
    <mergeCell ref="A12:B12"/>
    <mergeCell ref="A13:B13"/>
    <mergeCell ref="A14:B14"/>
    <mergeCell ref="A15:B15"/>
    <mergeCell ref="A16:B16"/>
  </mergeCells>
  <phoneticPr fontId="2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B5649-3E48-4B0C-8893-7DF6D2AFCBE1}">
  <sheetPr codeName="Sheet3"/>
  <dimension ref="A1:J29"/>
  <sheetViews>
    <sheetView showGridLines="0" workbookViewId="0"/>
  </sheetViews>
  <sheetFormatPr defaultRowHeight="18.75"/>
  <sheetData>
    <row r="1" spans="1:10">
      <c r="A1" t="s">
        <v>32</v>
      </c>
    </row>
    <row r="3" spans="1:10">
      <c r="A3" s="8" t="s">
        <v>33</v>
      </c>
    </row>
    <row r="4" spans="1:10">
      <c r="A4" s="4" t="s">
        <v>34</v>
      </c>
      <c r="B4" s="4" t="s">
        <v>35</v>
      </c>
      <c r="C4" s="4" t="s">
        <v>36</v>
      </c>
      <c r="D4" s="4" t="s">
        <v>37</v>
      </c>
      <c r="E4" s="4" t="s">
        <v>38</v>
      </c>
      <c r="F4" s="4" t="s">
        <v>39</v>
      </c>
      <c r="G4" s="4" t="s">
        <v>40</v>
      </c>
      <c r="H4" s="4" t="s">
        <v>41</v>
      </c>
    </row>
    <row r="5" spans="1:10">
      <c r="A5" s="10" t="s">
        <v>42</v>
      </c>
      <c r="B5" s="10">
        <v>85</v>
      </c>
      <c r="C5" s="10">
        <v>95</v>
      </c>
      <c r="D5" s="10">
        <v>70</v>
      </c>
      <c r="E5" s="10">
        <v>75</v>
      </c>
      <c r="F5" s="10">
        <v>90</v>
      </c>
      <c r="G5" s="10" t="str">
        <f t="array" ref="G5">IF(OR(B5:F5&gt;=90), "授与", "")</f>
        <v>授与</v>
      </c>
      <c r="H5" s="10" t="str">
        <f t="array" ref="H5">IF(AND(B5:F5&gt;=90), "授与", "")</f>
        <v/>
      </c>
      <c r="J5" s="13"/>
    </row>
    <row r="6" spans="1:10">
      <c r="A6" s="10" t="s">
        <v>43</v>
      </c>
      <c r="B6" s="10">
        <v>85</v>
      </c>
      <c r="C6" s="10">
        <v>50</v>
      </c>
      <c r="D6" s="10">
        <v>80</v>
      </c>
      <c r="E6" s="10">
        <v>60</v>
      </c>
      <c r="F6" s="10">
        <v>55</v>
      </c>
      <c r="G6" s="10" t="str">
        <f t="array" ref="G6">IF(OR(B6:F6&gt;=90), "授与", "")</f>
        <v/>
      </c>
      <c r="H6" s="10" t="str">
        <f t="array" ref="H6">IF(AND(B6:F6&gt;=90), "授与", "")</f>
        <v/>
      </c>
    </row>
    <row r="7" spans="1:10">
      <c r="A7" s="10" t="s">
        <v>44</v>
      </c>
      <c r="B7" s="10">
        <v>90</v>
      </c>
      <c r="C7" s="10">
        <v>100</v>
      </c>
      <c r="D7" s="10">
        <v>90</v>
      </c>
      <c r="E7" s="10">
        <v>95</v>
      </c>
      <c r="F7" s="10">
        <v>100</v>
      </c>
      <c r="G7" s="10" t="str">
        <f t="array" ref="G7">IF(OR(B7:F7&gt;=90), "授与", "")</f>
        <v>授与</v>
      </c>
      <c r="H7" s="10" t="str">
        <f t="array" ref="H7">IF(AND(B7:F7&gt;=90), "授与", "")</f>
        <v>授与</v>
      </c>
    </row>
    <row r="8" spans="1:10">
      <c r="A8" s="10" t="s">
        <v>45</v>
      </c>
      <c r="B8" s="10">
        <v>70</v>
      </c>
      <c r="C8" s="10">
        <v>40</v>
      </c>
      <c r="D8" s="10">
        <v>50</v>
      </c>
      <c r="E8" s="10">
        <v>80</v>
      </c>
      <c r="F8" s="10">
        <v>85</v>
      </c>
      <c r="G8" s="10" t="str">
        <f t="array" ref="G8">IF(OR(B8:F8&gt;=90), "授与", "")</f>
        <v/>
      </c>
      <c r="H8" s="10" t="str">
        <f t="array" ref="H8">IF(AND(B8:F8&gt;=90), "授与", "")</f>
        <v/>
      </c>
    </row>
    <row r="10" spans="1:10">
      <c r="A10" s="8" t="s">
        <v>56</v>
      </c>
    </row>
    <row r="11" spans="1:10">
      <c r="A11" s="4" t="s">
        <v>46</v>
      </c>
      <c r="B11" s="4" t="s">
        <v>48</v>
      </c>
      <c r="C11" s="4" t="s">
        <v>54</v>
      </c>
      <c r="E11" s="16" t="s">
        <v>55</v>
      </c>
    </row>
    <row r="12" spans="1:10">
      <c r="A12" s="10" t="s">
        <v>42</v>
      </c>
      <c r="B12" s="10" t="s">
        <v>49</v>
      </c>
      <c r="C12" s="10" t="str">
        <f t="array" ref="C12">IF(OR(B12=$E$13:$E$15), "送付", "")</f>
        <v>送付</v>
      </c>
      <c r="E12" s="15" t="s">
        <v>48</v>
      </c>
    </row>
    <row r="13" spans="1:10">
      <c r="A13" s="10" t="s">
        <v>43</v>
      </c>
      <c r="B13" s="10" t="s">
        <v>51</v>
      </c>
      <c r="C13" s="10" t="str">
        <f t="array" ref="C13">IF(OR(B13=$E$13:$E$15), "送付", "")</f>
        <v/>
      </c>
      <c r="E13" s="10" t="s">
        <v>49</v>
      </c>
    </row>
    <row r="14" spans="1:10">
      <c r="A14" s="10" t="s">
        <v>44</v>
      </c>
      <c r="B14" s="10" t="s">
        <v>50</v>
      </c>
      <c r="C14" s="10" t="str">
        <f t="array" ref="C14">IF(OR(B14=$E$13:$E$15), "送付", "")</f>
        <v>送付</v>
      </c>
      <c r="E14" s="10" t="s">
        <v>52</v>
      </c>
    </row>
    <row r="15" spans="1:10">
      <c r="A15" s="10" t="s">
        <v>45</v>
      </c>
      <c r="B15" s="10" t="s">
        <v>52</v>
      </c>
      <c r="C15" s="10" t="str">
        <f t="array" ref="C15">IF(OR(B15=$E$13:$E$15), "送付", "")</f>
        <v>送付</v>
      </c>
      <c r="E15" s="10" t="s">
        <v>50</v>
      </c>
    </row>
    <row r="16" spans="1:10">
      <c r="A16" s="11" t="s">
        <v>47</v>
      </c>
      <c r="B16" s="10" t="s">
        <v>53</v>
      </c>
      <c r="C16" s="10" t="str">
        <f t="array" ref="C16">IF(OR(B16=$E$13:$E$15), "送付", "")</f>
        <v/>
      </c>
    </row>
    <row r="17" spans="1:9">
      <c r="A17" s="14"/>
    </row>
    <row r="18" spans="1:9">
      <c r="A18" s="17" t="s">
        <v>57</v>
      </c>
    </row>
    <row r="19" spans="1:9">
      <c r="A19" s="27" t="s">
        <v>58</v>
      </c>
      <c r="B19" s="28"/>
      <c r="C19" s="4" t="s">
        <v>60</v>
      </c>
      <c r="E19" s="27" t="s">
        <v>58</v>
      </c>
      <c r="F19" s="28"/>
      <c r="G19" s="4" t="s">
        <v>60</v>
      </c>
      <c r="I19" s="4" t="s">
        <v>16</v>
      </c>
    </row>
    <row r="20" spans="1:9">
      <c r="A20" s="30" t="s">
        <v>59</v>
      </c>
      <c r="B20" s="30"/>
      <c r="C20" s="10" t="s">
        <v>61</v>
      </c>
      <c r="E20" s="30" t="s">
        <v>59</v>
      </c>
      <c r="F20" s="30"/>
      <c r="G20" s="10" t="s">
        <v>61</v>
      </c>
      <c r="I20" s="10" t="b">
        <f t="array" ref="I20">AND(A20:C22=E20:G22)</f>
        <v>0</v>
      </c>
    </row>
    <row r="21" spans="1:9">
      <c r="A21" s="29" t="s">
        <v>62</v>
      </c>
      <c r="B21" s="29"/>
      <c r="C21" s="10" t="s">
        <v>63</v>
      </c>
      <c r="E21" s="29" t="s">
        <v>62</v>
      </c>
      <c r="F21" s="29"/>
      <c r="G21" s="18" t="s">
        <v>66</v>
      </c>
    </row>
    <row r="22" spans="1:9">
      <c r="A22" s="30" t="s">
        <v>64</v>
      </c>
      <c r="B22" s="30"/>
      <c r="C22" s="10" t="s">
        <v>65</v>
      </c>
      <c r="E22" s="30" t="s">
        <v>64</v>
      </c>
      <c r="F22" s="30"/>
      <c r="G22" s="10" t="s">
        <v>65</v>
      </c>
    </row>
    <row r="24" spans="1:9">
      <c r="A24" s="8" t="s">
        <v>67</v>
      </c>
    </row>
    <row r="25" spans="1:9">
      <c r="A25" s="4" t="s">
        <v>68</v>
      </c>
      <c r="B25" s="4" t="s">
        <v>69</v>
      </c>
      <c r="C25" s="4" t="s">
        <v>70</v>
      </c>
      <c r="E25" s="4" t="s">
        <v>16</v>
      </c>
    </row>
    <row r="26" spans="1:9">
      <c r="A26" s="10">
        <v>1</v>
      </c>
      <c r="B26" s="10" t="s">
        <v>42</v>
      </c>
      <c r="C26" s="10">
        <v>52</v>
      </c>
      <c r="E26" s="10" t="b">
        <f t="array" ref="E26">AND(C26:C28&gt;C27:C29)</f>
        <v>1</v>
      </c>
    </row>
    <row r="27" spans="1:9">
      <c r="A27" s="10">
        <v>2</v>
      </c>
      <c r="B27" s="10" t="s">
        <v>43</v>
      </c>
      <c r="C27" s="10">
        <v>48</v>
      </c>
    </row>
    <row r="28" spans="1:9">
      <c r="A28" s="10">
        <v>3</v>
      </c>
      <c r="B28" s="10" t="s">
        <v>44</v>
      </c>
      <c r="C28" s="10">
        <v>37</v>
      </c>
    </row>
    <row r="29" spans="1:9">
      <c r="A29" s="10">
        <v>4</v>
      </c>
      <c r="B29" s="10" t="s">
        <v>45</v>
      </c>
      <c r="C29" s="10">
        <v>31</v>
      </c>
    </row>
  </sheetData>
  <mergeCells count="8">
    <mergeCell ref="A19:B19"/>
    <mergeCell ref="A20:B20"/>
    <mergeCell ref="A21:B21"/>
    <mergeCell ref="A22:B22"/>
    <mergeCell ref="E19:F19"/>
    <mergeCell ref="E20:F20"/>
    <mergeCell ref="E21:F21"/>
    <mergeCell ref="E22:F22"/>
  </mergeCells>
  <phoneticPr fontId="2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038C8-AF2A-4DAE-B65C-954F5C2449C2}">
  <sheetPr codeName="Sheet4"/>
  <dimension ref="A1:H34"/>
  <sheetViews>
    <sheetView showGridLines="0" workbookViewId="0">
      <selection activeCell="B4" sqref="B4"/>
    </sheetView>
  </sheetViews>
  <sheetFormatPr defaultRowHeight="18.75"/>
  <cols>
    <col min="1" max="1" width="15.6640625" customWidth="1"/>
    <col min="3" max="8" width="11.77734375" customWidth="1"/>
  </cols>
  <sheetData>
    <row r="1" spans="1:7">
      <c r="A1" s="8" t="s">
        <v>77</v>
      </c>
    </row>
    <row r="2" spans="1:7">
      <c r="A2" s="4" t="s">
        <v>71</v>
      </c>
      <c r="C2" s="4" t="s">
        <v>72</v>
      </c>
      <c r="D2" s="4" t="s">
        <v>73</v>
      </c>
      <c r="E2" s="4" t="s">
        <v>74</v>
      </c>
      <c r="F2" s="4" t="s">
        <v>75</v>
      </c>
      <c r="G2" s="4" t="s">
        <v>76</v>
      </c>
    </row>
    <row r="3" spans="1:7">
      <c r="A3" s="20">
        <v>44450</v>
      </c>
      <c r="C3" s="21">
        <f>EOMONTH($A$3, -2)</f>
        <v>44408</v>
      </c>
      <c r="D3" s="21">
        <f>EOMONTH($A$3, -1)</f>
        <v>44439</v>
      </c>
      <c r="E3" s="21">
        <f>EOMONTH($A$3, 0)</f>
        <v>44469</v>
      </c>
      <c r="F3" s="21">
        <f>EOMONTH($A$3, 1)</f>
        <v>44500</v>
      </c>
      <c r="G3" s="21">
        <f>EOMONTH($A$3, 2)</f>
        <v>44530</v>
      </c>
    </row>
    <row r="5" spans="1:7">
      <c r="A5" s="8" t="s">
        <v>82</v>
      </c>
    </row>
    <row r="6" spans="1:7">
      <c r="A6" s="4" t="s">
        <v>71</v>
      </c>
      <c r="C6" s="4" t="s">
        <v>72</v>
      </c>
      <c r="D6" s="4" t="s">
        <v>73</v>
      </c>
      <c r="E6" s="4" t="s">
        <v>74</v>
      </c>
      <c r="F6" s="4" t="s">
        <v>75</v>
      </c>
      <c r="G6" s="4" t="s">
        <v>76</v>
      </c>
    </row>
    <row r="7" spans="1:7">
      <c r="A7" s="20">
        <v>44450</v>
      </c>
      <c r="C7" s="21">
        <f>EOMONTH($A$3, -2)+10</f>
        <v>44418</v>
      </c>
      <c r="D7" s="21">
        <f>EOMONTH($A$3, -1)+10</f>
        <v>44449</v>
      </c>
      <c r="E7" s="21">
        <f>EOMONTH($A$3, 0)+10</f>
        <v>44479</v>
      </c>
      <c r="F7" s="21">
        <f>EOMONTH($A$3, 1)+10</f>
        <v>44510</v>
      </c>
      <c r="G7" s="21">
        <f>EOMONTH($A$3, 2)+10</f>
        <v>44540</v>
      </c>
    </row>
    <row r="9" spans="1:7">
      <c r="A9" s="8" t="s">
        <v>83</v>
      </c>
    </row>
    <row r="10" spans="1:7">
      <c r="A10" s="4" t="s">
        <v>78</v>
      </c>
      <c r="B10" s="4" t="s">
        <v>79</v>
      </c>
      <c r="C10" s="4" t="s">
        <v>80</v>
      </c>
      <c r="E10" s="4" t="s">
        <v>81</v>
      </c>
    </row>
    <row r="11" spans="1:7">
      <c r="A11" s="22">
        <v>44501</v>
      </c>
      <c r="B11" s="12" t="str">
        <f t="shared" ref="B11:B19" si="0">IF(NETWORKDAYS.INTL(A11,A11,1,$E$11:$E$12)=0, "休み", "")</f>
        <v/>
      </c>
      <c r="C11" s="12"/>
      <c r="E11" s="20">
        <v>44503</v>
      </c>
    </row>
    <row r="12" spans="1:7">
      <c r="A12" s="22">
        <v>44502</v>
      </c>
      <c r="B12" s="12" t="str">
        <f t="shared" si="0"/>
        <v/>
      </c>
      <c r="C12" s="12"/>
      <c r="E12" s="20">
        <v>44523</v>
      </c>
    </row>
    <row r="13" spans="1:7">
      <c r="A13" s="22">
        <v>44503</v>
      </c>
      <c r="B13" s="12" t="str">
        <f t="shared" si="0"/>
        <v>休み</v>
      </c>
      <c r="C13" s="12"/>
    </row>
    <row r="14" spans="1:7">
      <c r="A14" s="22">
        <v>44504</v>
      </c>
      <c r="B14" s="12" t="str">
        <f t="shared" si="0"/>
        <v/>
      </c>
      <c r="C14" s="12"/>
    </row>
    <row r="15" spans="1:7">
      <c r="A15" s="22">
        <v>44505</v>
      </c>
      <c r="B15" s="12" t="str">
        <f t="shared" si="0"/>
        <v/>
      </c>
      <c r="C15" s="12"/>
      <c r="E15" s="4" t="s">
        <v>84</v>
      </c>
    </row>
    <row r="16" spans="1:7">
      <c r="A16" s="22">
        <v>44506</v>
      </c>
      <c r="B16" s="12" t="str">
        <f t="shared" si="0"/>
        <v>休み</v>
      </c>
      <c r="C16" s="12"/>
      <c r="E16" s="23">
        <f>NETWORKDAYS.INTL(A11,A19,1,E11:$E$12)</f>
        <v>6</v>
      </c>
    </row>
    <row r="17" spans="1:8">
      <c r="A17" s="22">
        <v>44507</v>
      </c>
      <c r="B17" s="12" t="str">
        <f t="shared" si="0"/>
        <v>休み</v>
      </c>
      <c r="C17" s="12"/>
    </row>
    <row r="18" spans="1:8">
      <c r="A18" s="22">
        <v>44508</v>
      </c>
      <c r="B18" s="12" t="str">
        <f t="shared" si="0"/>
        <v/>
      </c>
      <c r="C18" s="12"/>
    </row>
    <row r="19" spans="1:8">
      <c r="A19" s="22">
        <v>44509</v>
      </c>
      <c r="B19" s="12" t="str">
        <f t="shared" si="0"/>
        <v/>
      </c>
      <c r="C19" s="12"/>
    </row>
    <row r="21" spans="1:8">
      <c r="A21" s="8" t="s">
        <v>85</v>
      </c>
    </row>
    <row r="22" spans="1:8">
      <c r="A22" s="4" t="s">
        <v>86</v>
      </c>
      <c r="B22" s="32" t="s">
        <v>87</v>
      </c>
      <c r="C22" s="32"/>
      <c r="D22" s="32" t="s">
        <v>88</v>
      </c>
      <c r="E22" s="32"/>
      <c r="G22" t="s">
        <v>89</v>
      </c>
    </row>
    <row r="23" spans="1:8">
      <c r="A23" s="24">
        <v>44287</v>
      </c>
      <c r="B23" s="31">
        <f t="shared" ref="B23:B28" si="1">WORKDAY.INTL(EOMONTH(A23,-1),1,1, $G$23:$H$26)</f>
        <v>44287</v>
      </c>
      <c r="C23" s="31"/>
      <c r="D23" s="31">
        <f t="shared" ref="D23:D28" si="2">WORKDAY.INTL(EOMONTH(A23,0)+1,-1,1,$G$23:$H$26)</f>
        <v>44316</v>
      </c>
      <c r="E23" s="31"/>
      <c r="G23" s="20">
        <v>44315</v>
      </c>
      <c r="H23" s="20">
        <v>44396</v>
      </c>
    </row>
    <row r="24" spans="1:8">
      <c r="A24" s="24">
        <v>44317</v>
      </c>
      <c r="B24" s="31">
        <f t="shared" si="1"/>
        <v>44322</v>
      </c>
      <c r="C24" s="31"/>
      <c r="D24" s="31">
        <f t="shared" si="2"/>
        <v>44347</v>
      </c>
      <c r="E24" s="31"/>
      <c r="G24" s="20">
        <v>44319</v>
      </c>
      <c r="H24" s="20">
        <v>44419</v>
      </c>
    </row>
    <row r="25" spans="1:8">
      <c r="A25" s="24">
        <v>44348</v>
      </c>
      <c r="B25" s="31">
        <f t="shared" si="1"/>
        <v>44348</v>
      </c>
      <c r="C25" s="31"/>
      <c r="D25" s="31">
        <f t="shared" si="2"/>
        <v>44377</v>
      </c>
      <c r="E25" s="31"/>
      <c r="G25" s="20">
        <v>44320</v>
      </c>
      <c r="H25" s="20">
        <v>44459</v>
      </c>
    </row>
    <row r="26" spans="1:8">
      <c r="A26" s="24">
        <v>44378</v>
      </c>
      <c r="B26" s="31">
        <f t="shared" si="1"/>
        <v>44378</v>
      </c>
      <c r="C26" s="31"/>
      <c r="D26" s="31">
        <f t="shared" si="2"/>
        <v>44407</v>
      </c>
      <c r="E26" s="31"/>
      <c r="G26" s="20">
        <v>44321</v>
      </c>
      <c r="H26" s="20">
        <v>44462</v>
      </c>
    </row>
    <row r="27" spans="1:8">
      <c r="A27" s="24">
        <v>44409</v>
      </c>
      <c r="B27" s="31">
        <f t="shared" si="1"/>
        <v>44410</v>
      </c>
      <c r="C27" s="31"/>
      <c r="D27" s="31">
        <f t="shared" si="2"/>
        <v>44439</v>
      </c>
      <c r="E27" s="31"/>
    </row>
    <row r="28" spans="1:8">
      <c r="A28" s="24">
        <v>44440</v>
      </c>
      <c r="B28" s="31">
        <f t="shared" si="1"/>
        <v>44440</v>
      </c>
      <c r="C28" s="31"/>
      <c r="D28" s="31">
        <f t="shared" si="2"/>
        <v>44469</v>
      </c>
      <c r="E28" s="31"/>
    </row>
    <row r="30" spans="1:8">
      <c r="A30" s="8" t="s">
        <v>91</v>
      </c>
    </row>
    <row r="31" spans="1:8">
      <c r="A31" s="4" t="s">
        <v>86</v>
      </c>
      <c r="B31" s="32" t="s">
        <v>90</v>
      </c>
      <c r="C31" s="32"/>
    </row>
    <row r="32" spans="1:8">
      <c r="A32" s="24">
        <v>44287</v>
      </c>
      <c r="B32" s="31">
        <f>WORKDAY.INTL(A32-1, 3, "1110111")</f>
        <v>44301</v>
      </c>
      <c r="C32" s="31"/>
    </row>
    <row r="33" spans="1:3">
      <c r="A33" s="24">
        <v>44317</v>
      </c>
      <c r="B33" s="31">
        <f>WORKDAY.INTL(A33-1, 3, "1110111")</f>
        <v>44336</v>
      </c>
      <c r="C33" s="31"/>
    </row>
    <row r="34" spans="1:3">
      <c r="A34" s="24">
        <v>44348</v>
      </c>
      <c r="B34" s="31">
        <f>WORKDAY.INTL(A34-1, 3, "1110111")</f>
        <v>44364</v>
      </c>
      <c r="C34" s="31"/>
    </row>
  </sheetData>
  <mergeCells count="18">
    <mergeCell ref="B31:C31"/>
    <mergeCell ref="B32:C32"/>
    <mergeCell ref="B33:C33"/>
    <mergeCell ref="B34:C34"/>
    <mergeCell ref="B28:C28"/>
    <mergeCell ref="D27:E27"/>
    <mergeCell ref="D28:E28"/>
    <mergeCell ref="B22:C22"/>
    <mergeCell ref="B23:C23"/>
    <mergeCell ref="B24:C24"/>
    <mergeCell ref="B25:C25"/>
    <mergeCell ref="B26:C26"/>
    <mergeCell ref="B27:C27"/>
    <mergeCell ref="D22:E22"/>
    <mergeCell ref="D23:E23"/>
    <mergeCell ref="D24:E24"/>
    <mergeCell ref="D25:E25"/>
    <mergeCell ref="D26:E26"/>
  </mergeCells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FFF2-3B1B-4139-8C23-030F7F9843D1}">
  <sheetPr codeName="Sheet5"/>
  <dimension ref="A1:D21"/>
  <sheetViews>
    <sheetView showGridLines="0" tabSelected="1" workbookViewId="0"/>
  </sheetViews>
  <sheetFormatPr defaultRowHeight="18.75"/>
  <cols>
    <col min="1" max="1" width="16.77734375" customWidth="1"/>
    <col min="2" max="2" width="13.88671875" customWidth="1"/>
    <col min="3" max="3" width="22.88671875" customWidth="1"/>
    <col min="4" max="4" width="20.88671875" customWidth="1"/>
  </cols>
  <sheetData>
    <row r="1" spans="1:4">
      <c r="A1" s="8" t="s">
        <v>92</v>
      </c>
    </row>
    <row r="2" spans="1:4">
      <c r="A2" s="4" t="s">
        <v>93</v>
      </c>
      <c r="B2" s="4" t="s">
        <v>97</v>
      </c>
      <c r="C2" s="4" t="s">
        <v>98</v>
      </c>
      <c r="D2" s="4" t="s">
        <v>100</v>
      </c>
    </row>
    <row r="3" spans="1:4">
      <c r="A3" s="19" t="s">
        <v>94</v>
      </c>
      <c r="B3" s="19" t="str">
        <f>TRIM(A3)</f>
        <v>鈴木　隆</v>
      </c>
      <c r="C3" s="19" t="str">
        <f>SUBSTITUTE(B3, " ", "　")</f>
        <v>鈴木　隆</v>
      </c>
      <c r="D3" s="19" t="s">
        <v>99</v>
      </c>
    </row>
    <row r="4" spans="1:4">
      <c r="A4" s="19" t="s">
        <v>95</v>
      </c>
      <c r="B4" s="19" t="str">
        <f>TRIM(A4)</f>
        <v>斎藤 雅美</v>
      </c>
      <c r="C4" s="19" t="str">
        <f>SUBSTITUTE(B4, " ", "　")</f>
        <v>斎藤　雅美</v>
      </c>
      <c r="D4" s="19" t="s">
        <v>99</v>
      </c>
    </row>
    <row r="5" spans="1:4">
      <c r="A5" s="19" t="s">
        <v>96</v>
      </c>
      <c r="B5" s="19" t="str">
        <f>TRIM(A5)</f>
        <v>松原　恵一</v>
      </c>
      <c r="C5" s="19" t="str">
        <f>SUBSTITUTE(B5, " ", "　")</f>
        <v>松原　恵一</v>
      </c>
      <c r="D5" s="19" t="s">
        <v>99</v>
      </c>
    </row>
    <row r="6" spans="1:4" ht="37.5">
      <c r="A6" s="25" t="s">
        <v>101</v>
      </c>
      <c r="B6" s="19" t="s">
        <v>99</v>
      </c>
      <c r="C6" s="19" t="s">
        <v>99</v>
      </c>
      <c r="D6" s="19" t="str">
        <f>SUBSTITUTE(A6, CHAR(10), "　")</f>
        <v>営業部　小林裕子</v>
      </c>
    </row>
    <row r="8" spans="1:4">
      <c r="A8" s="8" t="s">
        <v>107</v>
      </c>
    </row>
    <row r="9" spans="1:4">
      <c r="A9" s="4" t="s">
        <v>69</v>
      </c>
      <c r="B9" s="4" t="s">
        <v>105</v>
      </c>
      <c r="C9" s="4" t="s">
        <v>106</v>
      </c>
    </row>
    <row r="10" spans="1:4">
      <c r="A10" s="19" t="s">
        <v>102</v>
      </c>
      <c r="B10" s="19" t="str">
        <f>LEFT(A10, FIND("　", A10)-1)</f>
        <v>佐久間</v>
      </c>
      <c r="C10" s="19" t="str">
        <f>MID(A10, FIND("　", A10)+1, LEN(A10))</f>
        <v>慶</v>
      </c>
    </row>
    <row r="11" spans="1:4">
      <c r="A11" s="19" t="s">
        <v>103</v>
      </c>
      <c r="B11" s="19" t="str">
        <f>LEFT(A11, FIND("　", A11)-1)</f>
        <v>布川</v>
      </c>
      <c r="C11" s="19" t="str">
        <f>MID(A11, FIND("　", A11)+1, LEN(A11))</f>
        <v>奈津子</v>
      </c>
    </row>
    <row r="12" spans="1:4">
      <c r="A12" s="19" t="s">
        <v>104</v>
      </c>
      <c r="B12" s="19" t="str">
        <f>LEFT(A12, FIND("　", A12)-1)</f>
        <v>星</v>
      </c>
      <c r="C12" s="19" t="str">
        <f>MID(A12, FIND("　", A12)+1, LEN(A12))</f>
        <v>紘一</v>
      </c>
    </row>
    <row r="14" spans="1:4">
      <c r="A14" s="8" t="s">
        <v>108</v>
      </c>
    </row>
    <row r="15" spans="1:4">
      <c r="A15" s="4" t="s">
        <v>109</v>
      </c>
      <c r="B15" s="4" t="s">
        <v>110</v>
      </c>
    </row>
    <row r="16" spans="1:4">
      <c r="A16" s="26" t="s">
        <v>111</v>
      </c>
      <c r="B16" s="26" t="str">
        <f>[1]!KATAKANAW(A16)</f>
        <v>アイウエオ</v>
      </c>
    </row>
    <row r="17" spans="1:2">
      <c r="A17" s="26" t="s">
        <v>111</v>
      </c>
      <c r="B17" s="26" t="str">
        <f>[1]!KATAKANAN(A17)</f>
        <v>ｱｲｳｴｵ</v>
      </c>
    </row>
    <row r="18" spans="1:2">
      <c r="A18" s="26" t="s">
        <v>112</v>
      </c>
      <c r="B18" s="26" t="str">
        <f>[1]!HIRAGANAW(A18)</f>
        <v>かきくけこ</v>
      </c>
    </row>
    <row r="19" spans="1:2">
      <c r="A19" s="26" t="s">
        <v>112</v>
      </c>
      <c r="B19" s="26" t="str">
        <f>[1]!KATAKANAN(A19)</f>
        <v>ｶｷｸｹｺ</v>
      </c>
    </row>
    <row r="20" spans="1:2">
      <c r="A20" s="26" t="s">
        <v>113</v>
      </c>
      <c r="B20" s="26" t="str">
        <f>[1]!HIRAGANAW(A20)</f>
        <v>さしすせそ</v>
      </c>
    </row>
    <row r="21" spans="1:2">
      <c r="A21" s="26" t="s">
        <v>113</v>
      </c>
      <c r="B21" s="26" t="str">
        <f>[1]!KATAKANAW(A21)</f>
        <v>サシスセソ</v>
      </c>
    </row>
  </sheetData>
  <phoneticPr fontId="2"/>
  <pageMargins left="0.7" right="0.7" top="0.75" bottom="0.75" header="0.3" footer="0.3"/>
  <pageSetup paperSize="0" orientation="portrait" horizontalDpi="0" verticalDpi="0" copies="0"/>
  <ignoredErrors>
    <ignoredError sqref="B18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393194-9D04-4626-A0AB-B03AF71660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テーブルの構造化参照</vt:lpstr>
      <vt:lpstr>比較</vt:lpstr>
      <vt:lpstr>配列数式の条件式</vt:lpstr>
      <vt:lpstr>日付時刻の計算</vt:lpstr>
      <vt:lpstr>文字列と文字種の操作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進藤渉</dc:creator>
  <cp:lastModifiedBy>進藤渉</cp:lastModifiedBy>
  <dcterms:created xsi:type="dcterms:W3CDTF">2021-09-10T13:02:44Z</dcterms:created>
  <dcterms:modified xsi:type="dcterms:W3CDTF">2021-09-11T09:58:27Z</dcterms:modified>
</cp:coreProperties>
</file>