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B7C1E827-9D41-462C-9AE5-2CD46228D76F}" xr6:coauthVersionLast="47" xr6:coauthVersionMax="47" xr10:uidLastSave="{00000000-0000-0000-0000-000000000000}"/>
  <bookViews>
    <workbookView xWindow="-120" yWindow="-120" windowWidth="29040" windowHeight="15840" firstSheet="1" activeTab="7" xr2:uid="{D174609C-65B8-411A-8733-FF31F22A3DDC}"/>
  </bookViews>
  <sheets>
    <sheet name="テーブルの構造化参照" sheetId="2" r:id="rId1"/>
    <sheet name="比較" sheetId="3" r:id="rId2"/>
    <sheet name="配列数式の条件式" sheetId="4" r:id="rId3"/>
    <sheet name="日付時刻の計算" sheetId="5" r:id="rId4"/>
    <sheet name="文字列と文字種の操作" sheetId="6" r:id="rId5"/>
    <sheet name="データ検索(VLOOKUP)" sheetId="7" r:id="rId6"/>
    <sheet name="データ検索(INDEX)" sheetId="8" r:id="rId7"/>
    <sheet name="条件付きデータ集計" sheetId="9" r:id="rId8"/>
  </sheets>
  <externalReferences>
    <externalReference r:id="rId9"/>
  </externalReferences>
  <definedNames>
    <definedName name="商品リスト">'データ検索(VLOOKUP)'!$G$4:$I$8</definedName>
    <definedName name="南支店">'データ検索(VLOOKUP)'!$E$23:$F$26</definedName>
    <definedName name="北支店">'データ検索(VLOOKUP)'!$H$23:$I$26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9" l="1" a="1"/>
  <c r="F15" i="9" s="1"/>
  <c r="G15" i="9" a="1"/>
  <c r="G15" i="9" s="1"/>
  <c r="G14" i="9"/>
  <c r="F14" i="9"/>
  <c r="E8" i="9" a="1"/>
  <c r="E8" i="9" s="1"/>
  <c r="D8" i="9" a="1"/>
  <c r="D8" i="9" s="1"/>
  <c r="E7" i="9" a="1"/>
  <c r="E7" i="9" s="1"/>
  <c r="D7" i="9" a="1"/>
  <c r="D7" i="9" s="1"/>
  <c r="E6" i="9"/>
  <c r="D6" i="9"/>
  <c r="E5" i="9"/>
  <c r="D5" i="9"/>
  <c r="E4" i="9"/>
  <c r="D4" i="9"/>
  <c r="D3" i="9"/>
  <c r="E3" i="9"/>
  <c r="D32" i="8" a="1"/>
  <c r="D32" i="8" s="1"/>
  <c r="D31" i="8" a="1"/>
  <c r="D31" i="8" s="1"/>
  <c r="D30" i="8" a="1"/>
  <c r="D30" i="8" s="1"/>
  <c r="D29" i="8" a="1"/>
  <c r="D29" i="8" s="1"/>
  <c r="D28" i="8" a="1"/>
  <c r="D28" i="8" s="1"/>
  <c r="D27" i="8" a="1"/>
  <c r="D27" i="8" s="1"/>
  <c r="D26" i="8" a="1"/>
  <c r="D26" i="8" s="1"/>
  <c r="D25" i="8" a="1"/>
  <c r="D25" i="8" s="1"/>
  <c r="D24" i="8" a="1"/>
  <c r="D24" i="8" s="1"/>
  <c r="D23" i="8" a="1"/>
  <c r="D23" i="8" s="1"/>
  <c r="C32" i="8" a="1"/>
  <c r="C32" i="8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5" i="8" a="1"/>
  <c r="C25" i="8" s="1"/>
  <c r="C24" i="8" a="1"/>
  <c r="C24" i="8" s="1"/>
  <c r="C23" i="8" a="1"/>
  <c r="C23" i="8" s="1"/>
  <c r="B23" i="8" a="1"/>
  <c r="B23" i="8" s="1"/>
  <c r="B32" i="8" a="1"/>
  <c r="B32" i="8" s="1"/>
  <c r="B31" i="8" a="1"/>
  <c r="B31" i="8" s="1"/>
  <c r="B30" i="8" a="1"/>
  <c r="B30" i="8" s="1"/>
  <c r="B29" i="8" a="1"/>
  <c r="B29" i="8" s="1"/>
  <c r="B28" i="8" a="1"/>
  <c r="B28" i="8" s="1"/>
  <c r="B27" i="8" a="1"/>
  <c r="B27" i="8" s="1"/>
  <c r="B26" i="8" a="1"/>
  <c r="B26" i="8" s="1"/>
  <c r="B25" i="8" a="1"/>
  <c r="B25" i="8" s="1"/>
  <c r="B24" i="8" a="1"/>
  <c r="B24" i="8" s="1"/>
  <c r="B13" i="8"/>
  <c r="B4" i="8"/>
  <c r="D17" i="7"/>
  <c r="D16" i="7"/>
  <c r="D15" i="7"/>
  <c r="D14" i="7"/>
  <c r="C8" i="7"/>
  <c r="E8" i="7" s="1"/>
  <c r="B8" i="7"/>
  <c r="C7" i="7"/>
  <c r="B7" i="7"/>
  <c r="C6" i="7"/>
  <c r="E6" i="7" s="1"/>
  <c r="B6" i="7"/>
  <c r="C5" i="7"/>
  <c r="B5" i="7"/>
  <c r="C4" i="7"/>
  <c r="E4" i="7" s="1"/>
  <c r="B4" i="7"/>
  <c r="E7" i="7"/>
  <c r="E5" i="7"/>
  <c r="C12" i="6"/>
  <c r="C11" i="6"/>
  <c r="C10" i="6"/>
  <c r="B12" i="6"/>
  <c r="B11" i="6"/>
  <c r="B10" i="6"/>
  <c r="D6" i="6"/>
  <c r="C5" i="6"/>
  <c r="C4" i="6"/>
  <c r="C3" i="6"/>
  <c r="B5" i="6"/>
  <c r="B4" i="6"/>
  <c r="B3" i="6"/>
  <c r="B34" i="5"/>
  <c r="B33" i="5"/>
  <c r="B32" i="5"/>
  <c r="D28" i="5"/>
  <c r="D27" i="5"/>
  <c r="D26" i="5"/>
  <c r="D25" i="5"/>
  <c r="D24" i="5"/>
  <c r="D23" i="5"/>
  <c r="B28" i="5"/>
  <c r="B27" i="5"/>
  <c r="B26" i="5"/>
  <c r="B25" i="5"/>
  <c r="B24" i="5"/>
  <c r="B23" i="5"/>
  <c r="E16" i="5"/>
  <c r="B11" i="5"/>
  <c r="B19" i="5"/>
  <c r="B18" i="5"/>
  <c r="B17" i="5"/>
  <c r="B16" i="5"/>
  <c r="B15" i="5"/>
  <c r="B14" i="5"/>
  <c r="B13" i="5"/>
  <c r="B12" i="5"/>
  <c r="G7" i="5"/>
  <c r="F7" i="5"/>
  <c r="E7" i="5"/>
  <c r="D7" i="5"/>
  <c r="C7" i="5"/>
  <c r="G3" i="5"/>
  <c r="F3" i="5"/>
  <c r="E3" i="5"/>
  <c r="D3" i="5"/>
  <c r="C3" i="5"/>
  <c r="E26" i="4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  <c r="C25" i="7"/>
  <c r="B17" i="6"/>
  <c r="B18" i="6"/>
  <c r="C23" i="7"/>
  <c r="B19" i="6"/>
  <c r="C26" i="7"/>
  <c r="C24" i="7"/>
  <c r="B16" i="6"/>
  <c r="B21" i="6"/>
  <c r="B2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C8" authorId="0" shapeId="0" xr:uid="{58628EE1-1305-44E8-A6F1-D17A664FAB35}">
      <text>
        <r>
          <rPr>
            <sz val="9"/>
            <color indexed="81"/>
            <rFont val="MS P ゴシック"/>
            <family val="3"/>
            <charset val="128"/>
          </rPr>
          <t xml:space="preserve">第三引数の列指定を </t>
        </r>
        <r>
          <rPr>
            <b/>
            <u/>
            <sz val="9"/>
            <color indexed="81"/>
            <rFont val="MS P ゴシック"/>
            <family val="3"/>
            <charset val="128"/>
          </rPr>
          <t>COLUMN関数</t>
        </r>
        <r>
          <rPr>
            <sz val="9"/>
            <color indexed="81"/>
            <rFont val="MS P ゴシック"/>
            <family val="3"/>
            <charset val="128"/>
          </rPr>
          <t xml:space="preserve"> で計算させることによって、縦にも横にもコピペできるようになる</t>
        </r>
      </text>
    </comment>
  </commentList>
</comments>
</file>

<file path=xl/sharedStrings.xml><?xml version="1.0" encoding="utf-8"?>
<sst xmlns="http://schemas.openxmlformats.org/spreadsheetml/2006/main" count="363" uniqueCount="222">
  <si>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</si>
  <si>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</si>
  <si>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</si>
  <si>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</si>
  <si>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</si>
  <si>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</si>
  <si>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</si>
  <si>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</si>
  <si>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</si>
  <si>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</si>
  <si>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</si>
  <si>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</si>
  <si>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</si>
  <si>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</si>
  <si>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</si>
  <si>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</si>
  <si>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</si>
  <si>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</si>
  <si>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</si>
  <si>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</si>
  <si>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</si>
  <si>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</si>
  <si>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</si>
  <si>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</si>
  <si>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</si>
  <si>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</si>
  <si>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</si>
  <si>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</si>
  <si>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</si>
  <si>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</si>
  <si>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</si>
  <si>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</si>
  <si>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</si>
  <si>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</si>
  <si>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</si>
  <si>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</si>
  <si>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</si>
  <si>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</si>
  <si>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</si>
  <si>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</si>
  <si>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</si>
  <si>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</si>
  <si>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</si>
  <si>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</si>
  <si>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</si>
  <si>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</si>
  <si>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</si>
  <si>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</si>
  <si>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</si>
  <si>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</si>
  <si>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</si>
  <si>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</si>
  <si>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</si>
  <si>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</si>
  <si>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</si>
  <si>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</si>
  <si>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</si>
  <si>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</si>
  <si>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</si>
  <si>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</si>
  <si>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</si>
  <si>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</si>
  <si>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</si>
  <si>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</si>
  <si>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</si>
  <si>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</si>
  <si>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</si>
  <si>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</si>
  <si>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</si>
  <si>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</si>
  <si>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</si>
  <si>
    <t>基準日</t>
    <rPh sb="0" eb="3">
      <t>キジュンビ</t>
    </rPh>
    <phoneticPr fontId="2"/>
  </si>
  <si>
    <t>前々月</t>
    <rPh sb="0" eb="3">
      <t>ゼンゼンゲツ</t>
    </rPh>
    <phoneticPr fontId="2"/>
  </si>
  <si>
    <t>前月</t>
    <rPh sb="0" eb="2">
      <t>ゼンゲツ</t>
    </rPh>
    <phoneticPr fontId="2"/>
  </si>
  <si>
    <t>今月</t>
    <rPh sb="0" eb="2">
      <t>コンゲツ</t>
    </rPh>
    <phoneticPr fontId="2"/>
  </si>
  <si>
    <t>翌月</t>
    <rPh sb="0" eb="2">
      <t>ヨクゲツ</t>
    </rPh>
    <phoneticPr fontId="2"/>
  </si>
  <si>
    <t>翌々月</t>
    <rPh sb="0" eb="3">
      <t>ヨクヨクゲツ</t>
    </rPh>
    <phoneticPr fontId="2"/>
  </si>
  <si>
    <t>特定の日付を基準日として、月末日を求める（EOMONTH）</t>
    <rPh sb="0" eb="2">
      <t>トクテイ</t>
    </rPh>
    <rPh sb="3" eb="5">
      <t>ヒヅケ</t>
    </rPh>
    <rPh sb="6" eb="8">
      <t>キジュン</t>
    </rPh>
    <rPh sb="8" eb="9">
      <t>ヒ</t>
    </rPh>
    <rPh sb="13" eb="16">
      <t>ゲツマツビ</t>
    </rPh>
    <rPh sb="17" eb="18">
      <t>モト</t>
    </rPh>
    <phoneticPr fontId="2"/>
  </si>
  <si>
    <t>日付</t>
    <rPh sb="0" eb="2">
      <t>ヒヅケ</t>
    </rPh>
    <phoneticPr fontId="2"/>
  </si>
  <si>
    <t>営／休</t>
    <rPh sb="0" eb="1">
      <t>エイ</t>
    </rPh>
    <rPh sb="2" eb="3">
      <t>キュウ</t>
    </rPh>
    <phoneticPr fontId="2"/>
  </si>
  <si>
    <t>予定</t>
    <rPh sb="0" eb="2">
      <t>ヨテイ</t>
    </rPh>
    <phoneticPr fontId="2"/>
  </si>
  <si>
    <t>祝日</t>
    <rPh sb="0" eb="2">
      <t>シュクジツ</t>
    </rPh>
    <phoneticPr fontId="2"/>
  </si>
  <si>
    <t>特定の日付を基準日として、翌月10日の日付を求める（EOMONTH）</t>
    <rPh sb="13" eb="15">
      <t>ヨクゲツ</t>
    </rPh>
    <rPh sb="17" eb="18">
      <t>ニチ</t>
    </rPh>
    <rPh sb="19" eb="21">
      <t>ヒヅケ</t>
    </rPh>
    <rPh sb="22" eb="23">
      <t>モト</t>
    </rPh>
    <phoneticPr fontId="2"/>
  </si>
  <si>
    <t>指定の曜日を定休日として、営業日／休業日を判定する（NETWORKDAYS.INTL）</t>
    <rPh sb="0" eb="2">
      <t>シテイ</t>
    </rPh>
    <rPh sb="3" eb="5">
      <t>ヨウビ</t>
    </rPh>
    <rPh sb="6" eb="9">
      <t>テイキュウビ</t>
    </rPh>
    <rPh sb="13" eb="16">
      <t>エイギョウビ</t>
    </rPh>
    <rPh sb="17" eb="20">
      <t>キュウギョウビ</t>
    </rPh>
    <rPh sb="21" eb="23">
      <t>ハンテイ</t>
    </rPh>
    <phoneticPr fontId="2"/>
  </si>
  <si>
    <t>営業日数</t>
    <rPh sb="0" eb="2">
      <t>エイギョウ</t>
    </rPh>
    <rPh sb="2" eb="4">
      <t>ニッスウ</t>
    </rPh>
    <phoneticPr fontId="2"/>
  </si>
  <si>
    <t>月初と月末の営業日を求める（WORKDAY.INTL）</t>
    <rPh sb="0" eb="2">
      <t>ゲッショ</t>
    </rPh>
    <rPh sb="3" eb="5">
      <t>ゲツマツ</t>
    </rPh>
    <rPh sb="6" eb="9">
      <t>エイギョウビ</t>
    </rPh>
    <rPh sb="10" eb="11">
      <t>モト</t>
    </rPh>
    <phoneticPr fontId="2"/>
  </si>
  <si>
    <t>月</t>
    <rPh sb="0" eb="1">
      <t>ツキ</t>
    </rPh>
    <phoneticPr fontId="2"/>
  </si>
  <si>
    <t>最初の営業日</t>
    <rPh sb="0" eb="2">
      <t>サイショ</t>
    </rPh>
    <rPh sb="3" eb="6">
      <t>エイギョウビ</t>
    </rPh>
    <phoneticPr fontId="2"/>
  </si>
  <si>
    <t>最後の営業日</t>
    <rPh sb="0" eb="2">
      <t>サイゴ</t>
    </rPh>
    <rPh sb="3" eb="6">
      <t>エイギョウビ</t>
    </rPh>
    <phoneticPr fontId="2"/>
  </si>
  <si>
    <t>休日一覧</t>
    <rPh sb="0" eb="2">
      <t>キュウジツ</t>
    </rPh>
    <rPh sb="2" eb="4">
      <t>イチラン</t>
    </rPh>
    <phoneticPr fontId="2"/>
  </si>
  <si>
    <t>第３木曜日</t>
    <rPh sb="0" eb="1">
      <t>ダイ</t>
    </rPh>
    <rPh sb="2" eb="5">
      <t>モクヨウビ</t>
    </rPh>
    <phoneticPr fontId="2"/>
  </si>
  <si>
    <t>毎月 第３木曜日を求める（WORKDAY.INTL）</t>
    <rPh sb="0" eb="2">
      <t>マイツキ</t>
    </rPh>
    <rPh sb="3" eb="4">
      <t>ダイ</t>
    </rPh>
    <rPh sb="5" eb="8">
      <t>モクヨウビ</t>
    </rPh>
    <rPh sb="9" eb="10">
      <t>モト</t>
    </rPh>
    <phoneticPr fontId="2"/>
  </si>
  <si>
    <t>セル内の文字列を置換（SUBSTITUTE / TRIM）</t>
    <rPh sb="2" eb="3">
      <t>ナイ</t>
    </rPh>
    <rPh sb="4" eb="7">
      <t>モジレツ</t>
    </rPh>
    <rPh sb="8" eb="10">
      <t>チカン</t>
    </rPh>
    <phoneticPr fontId="2"/>
  </si>
  <si>
    <t>文字列</t>
    <rPh sb="0" eb="3">
      <t>モジレツ</t>
    </rPh>
    <phoneticPr fontId="2"/>
  </si>
  <si>
    <t>　　鈴木　　　隆</t>
    <rPh sb="2" eb="4">
      <t>スズキ</t>
    </rPh>
    <rPh sb="7" eb="8">
      <t>タカシ</t>
    </rPh>
    <phoneticPr fontId="2"/>
  </si>
  <si>
    <t>斎藤 雅美</t>
    <rPh sb="0" eb="2">
      <t>サイトウ</t>
    </rPh>
    <rPh sb="3" eb="5">
      <t>マサミ</t>
    </rPh>
    <phoneticPr fontId="2"/>
  </si>
  <si>
    <t>松原　恵一</t>
    <rPh sb="0" eb="2">
      <t>マツバラ</t>
    </rPh>
    <rPh sb="3" eb="5">
      <t>ケイイチ</t>
    </rPh>
    <phoneticPr fontId="2"/>
  </si>
  <si>
    <t>空白削除</t>
    <rPh sb="0" eb="2">
      <t>クウハク</t>
    </rPh>
    <rPh sb="2" eb="4">
      <t>サクジョ</t>
    </rPh>
    <phoneticPr fontId="2"/>
  </si>
  <si>
    <t>半角空白を全角空白に置換</t>
    <rPh sb="0" eb="2">
      <t>ハンカク</t>
    </rPh>
    <rPh sb="2" eb="4">
      <t>クウハク</t>
    </rPh>
    <rPh sb="5" eb="7">
      <t>ゼンカク</t>
    </rPh>
    <rPh sb="7" eb="9">
      <t>クウハク</t>
    </rPh>
    <rPh sb="10" eb="12">
      <t>チカン</t>
    </rPh>
    <phoneticPr fontId="2"/>
  </si>
  <si>
    <t>-</t>
    <phoneticPr fontId="2"/>
  </si>
  <si>
    <t>改行を全角空白に置換</t>
    <rPh sb="0" eb="2">
      <t>カイギョウ</t>
    </rPh>
    <rPh sb="3" eb="5">
      <t>ゼンカク</t>
    </rPh>
    <rPh sb="5" eb="7">
      <t>クウハク</t>
    </rPh>
    <rPh sb="8" eb="10">
      <t>チカン</t>
    </rPh>
    <phoneticPr fontId="2"/>
  </si>
  <si>
    <t>営業部
小林裕子</t>
    <rPh sb="0" eb="3">
      <t>エイギョウブ</t>
    </rPh>
    <rPh sb="4" eb="6">
      <t>コバヤシ</t>
    </rPh>
    <rPh sb="6" eb="8">
      <t>ユウコ</t>
    </rPh>
    <phoneticPr fontId="2"/>
  </si>
  <si>
    <t>佐久間　慶</t>
    <rPh sb="0" eb="3">
      <t>サクマ</t>
    </rPh>
    <rPh sb="4" eb="5">
      <t>ケイ</t>
    </rPh>
    <phoneticPr fontId="2"/>
  </si>
  <si>
    <t>布川　奈津子</t>
    <rPh sb="0" eb="2">
      <t>ヌノカワ</t>
    </rPh>
    <rPh sb="3" eb="6">
      <t>ナツコ</t>
    </rPh>
    <phoneticPr fontId="2"/>
  </si>
  <si>
    <t>星　紘一</t>
    <rPh sb="0" eb="1">
      <t>ホシ</t>
    </rPh>
    <rPh sb="2" eb="4">
      <t>コウイチ</t>
    </rPh>
    <phoneticPr fontId="2"/>
  </si>
  <si>
    <t>性</t>
    <rPh sb="0" eb="1">
      <t>セイ</t>
    </rPh>
    <phoneticPr fontId="2"/>
  </si>
  <si>
    <t>名</t>
    <rPh sb="0" eb="1">
      <t>メイ</t>
    </rPh>
    <phoneticPr fontId="2"/>
  </si>
  <si>
    <t>氏名を性と名に分解（LEFT / MID / FIND / LEN）</t>
    <rPh sb="0" eb="2">
      <t>シメイ</t>
    </rPh>
    <rPh sb="3" eb="4">
      <t>セイ</t>
    </rPh>
    <rPh sb="5" eb="6">
      <t>メイ</t>
    </rPh>
    <rPh sb="7" eb="9">
      <t>ブンカイ</t>
    </rPh>
    <phoneticPr fontId="2"/>
  </si>
  <si>
    <t>ひらがな／カタカナを変換（VBAで独自APIを作成）</t>
    <rPh sb="10" eb="12">
      <t>ヘンカン</t>
    </rPh>
    <rPh sb="17" eb="19">
      <t>ドクジ</t>
    </rPh>
    <rPh sb="23" eb="25">
      <t>サクセイ</t>
    </rPh>
    <phoneticPr fontId="2"/>
  </si>
  <si>
    <t>変換前</t>
    <rPh sb="0" eb="3">
      <t>ヘンカンマエ</t>
    </rPh>
    <phoneticPr fontId="2"/>
  </si>
  <si>
    <t>変換後</t>
    <rPh sb="0" eb="2">
      <t>ヘンカン</t>
    </rPh>
    <rPh sb="2" eb="3">
      <t>ゴ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</si>
  <si>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</si>
  <si>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</si>
  <si>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</si>
  <si>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受注明細</t>
    <rPh sb="0" eb="4">
      <t>ジュチュウメイサイ</t>
    </rPh>
    <phoneticPr fontId="2"/>
  </si>
  <si>
    <t>商品ID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</si>
  <si>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</si>
  <si>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</si>
  <si>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</si>
  <si>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</si>
  <si>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商品リスト</t>
    <rPh sb="0" eb="2">
      <t>ショウヒン</t>
    </rPh>
    <phoneticPr fontId="2"/>
  </si>
  <si>
    <t>K-103</t>
    <phoneticPr fontId="2"/>
  </si>
  <si>
    <t>K-105</t>
    <phoneticPr fontId="2"/>
  </si>
  <si>
    <t>M-101</t>
    <phoneticPr fontId="2"/>
  </si>
  <si>
    <t>M-102</t>
    <phoneticPr fontId="2"/>
  </si>
  <si>
    <t>M-103</t>
    <phoneticPr fontId="2"/>
  </si>
  <si>
    <t>炊飯器３合</t>
    <rPh sb="0" eb="3">
      <t>スイハンキ</t>
    </rPh>
    <rPh sb="4" eb="5">
      <t>ゴウ</t>
    </rPh>
    <phoneticPr fontId="2"/>
  </si>
  <si>
    <t>炊飯器５合</t>
    <rPh sb="0" eb="3">
      <t>スイハンキ</t>
    </rPh>
    <rPh sb="4" eb="5">
      <t>ゴウ</t>
    </rPh>
    <phoneticPr fontId="2"/>
  </si>
  <si>
    <t>電気圧力鍋</t>
    <rPh sb="0" eb="4">
      <t>デンキアツリョク</t>
    </rPh>
    <rPh sb="4" eb="5">
      <t>ナベ</t>
    </rPh>
    <phoneticPr fontId="2"/>
  </si>
  <si>
    <t>電子レンジ</t>
    <rPh sb="0" eb="2">
      <t>デンシ</t>
    </rPh>
    <phoneticPr fontId="2"/>
  </si>
  <si>
    <t>トースター</t>
    <phoneticPr fontId="2"/>
  </si>
  <si>
    <t>伝票No</t>
    <rPh sb="0" eb="2">
      <t>デンピョウ</t>
    </rPh>
    <phoneticPr fontId="2"/>
  </si>
  <si>
    <t>顧客</t>
    <rPh sb="0" eb="2">
      <t>コキャク</t>
    </rPh>
    <phoneticPr fontId="2"/>
  </si>
  <si>
    <t>重量</t>
    <rPh sb="0" eb="2">
      <t>ジュウリョウ</t>
    </rPh>
    <phoneticPr fontId="2"/>
  </si>
  <si>
    <t>送料</t>
    <rPh sb="0" eb="2">
      <t>ソウリョウ</t>
    </rPh>
    <phoneticPr fontId="2"/>
  </si>
  <si>
    <t>柏木</t>
    <rPh sb="0" eb="2">
      <t>カシワギ</t>
    </rPh>
    <phoneticPr fontId="2"/>
  </si>
  <si>
    <t>小野田</t>
    <rPh sb="0" eb="3">
      <t>オノダ</t>
    </rPh>
    <phoneticPr fontId="2"/>
  </si>
  <si>
    <t>河原</t>
    <rPh sb="0" eb="2">
      <t>カワハラ</t>
    </rPh>
    <phoneticPr fontId="2"/>
  </si>
  <si>
    <t>重量（kg）</t>
    <rPh sb="0" eb="2">
      <t>ジュウリョウ</t>
    </rPh>
    <phoneticPr fontId="2"/>
  </si>
  <si>
    <t>以上</t>
    <rPh sb="0" eb="2">
      <t>イジョウ</t>
    </rPh>
    <phoneticPr fontId="2"/>
  </si>
  <si>
    <t>未満</t>
    <rPh sb="0" eb="2">
      <t>ミマン</t>
    </rPh>
    <phoneticPr fontId="2"/>
  </si>
  <si>
    <t>別配送</t>
    <rPh sb="0" eb="3">
      <t>ベツハイソウ</t>
    </rPh>
    <phoneticPr fontId="2"/>
  </si>
  <si>
    <t>～</t>
    <phoneticPr fontId="2"/>
  </si>
  <si>
    <t>検索対象の表を繰り替える</t>
    <rPh sb="0" eb="2">
      <t>ケンサク</t>
    </rPh>
    <rPh sb="2" eb="4">
      <t>タイショウ</t>
    </rPh>
    <rPh sb="5" eb="6">
      <t>ヒョウ</t>
    </rPh>
    <rPh sb="7" eb="8">
      <t>ク</t>
    </rPh>
    <rPh sb="9" eb="10">
      <t>カ</t>
    </rPh>
    <phoneticPr fontId="2"/>
  </si>
  <si>
    <t>商品IDをキーとして商品情報を取得する</t>
    <rPh sb="0" eb="2">
      <t>ショウヒン</t>
    </rPh>
    <rPh sb="10" eb="12">
      <t>ショウヒン</t>
    </rPh>
    <rPh sb="12" eb="14">
      <t>ジョウホウ</t>
    </rPh>
    <rPh sb="15" eb="17">
      <t>シュトク</t>
    </rPh>
    <phoneticPr fontId="2"/>
  </si>
  <si>
    <t>近似一致検索（〇以上△未満）</t>
    <rPh sb="0" eb="4">
      <t>キンジイッチ</t>
    </rPh>
    <rPh sb="4" eb="6">
      <t>ケンサク</t>
    </rPh>
    <rPh sb="8" eb="10">
      <t>イジョウ</t>
    </rPh>
    <rPh sb="11" eb="13">
      <t>ミマン</t>
    </rPh>
    <phoneticPr fontId="2"/>
  </si>
  <si>
    <t>支店</t>
    <rPh sb="0" eb="2">
      <t>シテン</t>
    </rPh>
    <phoneticPr fontId="2"/>
  </si>
  <si>
    <t>役職</t>
    <rPh sb="0" eb="2">
      <t>ヤクショク</t>
    </rPh>
    <phoneticPr fontId="2"/>
  </si>
  <si>
    <t>役職者検索</t>
    <rPh sb="0" eb="3">
      <t>ヤクショクシャ</t>
    </rPh>
    <rPh sb="3" eb="5">
      <t>ケンサク</t>
    </rPh>
    <phoneticPr fontId="2"/>
  </si>
  <si>
    <t>南支社</t>
    <rPh sb="0" eb="3">
      <t>ミナミシシャ</t>
    </rPh>
    <phoneticPr fontId="2"/>
  </si>
  <si>
    <t>支店長</t>
    <rPh sb="0" eb="3">
      <t>シテンチョウ</t>
    </rPh>
    <phoneticPr fontId="2"/>
  </si>
  <si>
    <t>副支店長</t>
    <rPh sb="0" eb="4">
      <t>フクシテンチョウ</t>
    </rPh>
    <phoneticPr fontId="2"/>
  </si>
  <si>
    <t>営業部長</t>
    <rPh sb="0" eb="2">
      <t>エイギョウ</t>
    </rPh>
    <rPh sb="2" eb="4">
      <t>ブチョウ</t>
    </rPh>
    <phoneticPr fontId="2"/>
  </si>
  <si>
    <t>総務部長</t>
    <rPh sb="0" eb="2">
      <t>ソウム</t>
    </rPh>
    <rPh sb="2" eb="4">
      <t>ブチョウ</t>
    </rPh>
    <phoneticPr fontId="2"/>
  </si>
  <si>
    <t>高田 智也</t>
    <rPh sb="0" eb="2">
      <t>タカダ</t>
    </rPh>
    <rPh sb="3" eb="5">
      <t>トモヤ</t>
    </rPh>
    <phoneticPr fontId="2"/>
  </si>
  <si>
    <t>新島 弥生</t>
    <rPh sb="0" eb="2">
      <t>ニイジマ</t>
    </rPh>
    <rPh sb="3" eb="5">
      <t>ヤヨイ</t>
    </rPh>
    <phoneticPr fontId="2"/>
  </si>
  <si>
    <t>岡島 健介</t>
    <rPh sb="0" eb="2">
      <t>オカジマ</t>
    </rPh>
    <rPh sb="3" eb="5">
      <t>ケンスケ</t>
    </rPh>
    <phoneticPr fontId="2"/>
  </si>
  <si>
    <t>増田 総</t>
    <rPh sb="0" eb="2">
      <t>マスダ</t>
    </rPh>
    <rPh sb="3" eb="4">
      <t>ソウ</t>
    </rPh>
    <phoneticPr fontId="2"/>
  </si>
  <si>
    <t>北支社</t>
    <rPh sb="0" eb="1">
      <t>キタ</t>
    </rPh>
    <rPh sb="1" eb="3">
      <t>シシャ</t>
    </rPh>
    <phoneticPr fontId="2"/>
  </si>
  <si>
    <t>内山 健二</t>
    <rPh sb="0" eb="2">
      <t>ウチヤマ</t>
    </rPh>
    <rPh sb="3" eb="5">
      <t>ケンジ</t>
    </rPh>
    <phoneticPr fontId="2"/>
  </si>
  <si>
    <t>三田 博文</t>
    <rPh sb="0" eb="2">
      <t>ミタ</t>
    </rPh>
    <rPh sb="3" eb="5">
      <t>ヒロフミ</t>
    </rPh>
    <phoneticPr fontId="2"/>
  </si>
  <si>
    <t>市田 京香</t>
    <rPh sb="0" eb="2">
      <t>イチダ</t>
    </rPh>
    <rPh sb="3" eb="5">
      <t>キョウカ</t>
    </rPh>
    <phoneticPr fontId="2"/>
  </si>
  <si>
    <t>野村 栞</t>
    <rPh sb="0" eb="2">
      <t>ノムラ</t>
    </rPh>
    <rPh sb="3" eb="4">
      <t>シオリ</t>
    </rPh>
    <phoneticPr fontId="2"/>
  </si>
  <si>
    <t>南支店</t>
    <rPh sb="0" eb="1">
      <t>ミナミ</t>
    </rPh>
    <rPh sb="1" eb="3">
      <t>シテン</t>
    </rPh>
    <phoneticPr fontId="2"/>
  </si>
  <si>
    <t>北支店</t>
    <rPh sb="0" eb="1">
      <t>キタ</t>
    </rPh>
    <rPh sb="1" eb="3">
      <t>シテン</t>
    </rPh>
    <phoneticPr fontId="2"/>
  </si>
  <si>
    <t>商品検索</t>
    <rPh sb="0" eb="4">
      <t>ショウヒンケンサク</t>
    </rPh>
    <phoneticPr fontId="2"/>
  </si>
  <si>
    <t>サイズ</t>
    <phoneticPr fontId="2"/>
  </si>
  <si>
    <t>価格</t>
    <rPh sb="0" eb="2">
      <t>カカク</t>
    </rPh>
    <phoneticPr fontId="2"/>
  </si>
  <si>
    <t>R-103</t>
    <phoneticPr fontId="2"/>
  </si>
  <si>
    <t>M</t>
    <phoneticPr fontId="2"/>
  </si>
  <si>
    <t>単価表</t>
    <rPh sb="0" eb="3">
      <t>タンカヒョウ</t>
    </rPh>
    <phoneticPr fontId="2"/>
  </si>
  <si>
    <t>S</t>
    <phoneticPr fontId="2"/>
  </si>
  <si>
    <t>L</t>
  </si>
  <si>
    <t>L</t>
    <phoneticPr fontId="2"/>
  </si>
  <si>
    <t>R-101</t>
  </si>
  <si>
    <t>R-101</t>
    <phoneticPr fontId="2"/>
  </si>
  <si>
    <t>R-102</t>
    <phoneticPr fontId="2"/>
  </si>
  <si>
    <t>R-104</t>
    <phoneticPr fontId="2"/>
  </si>
  <si>
    <t>検索条件</t>
    <rPh sb="0" eb="2">
      <t>ケンサク</t>
    </rPh>
    <rPh sb="2" eb="4">
      <t>ジョウケン</t>
    </rPh>
    <phoneticPr fontId="2"/>
  </si>
  <si>
    <t>長谷部</t>
    <rPh sb="0" eb="3">
      <t>ハセベ</t>
    </rPh>
    <phoneticPr fontId="2"/>
  </si>
  <si>
    <t>検索結果</t>
    <rPh sb="0" eb="2">
      <t>ケンサク</t>
    </rPh>
    <rPh sb="2" eb="4">
      <t>ケッカ</t>
    </rPh>
    <phoneticPr fontId="2"/>
  </si>
  <si>
    <t>売上</t>
    <rPh sb="0" eb="2">
      <t>ウリアゲ</t>
    </rPh>
    <phoneticPr fontId="2"/>
  </si>
  <si>
    <t>売上表</t>
    <rPh sb="0" eb="3">
      <t>ウリアゲヒョウ</t>
    </rPh>
    <phoneticPr fontId="2"/>
  </si>
  <si>
    <t>三井</t>
    <rPh sb="0" eb="2">
      <t>ミツイ</t>
    </rPh>
    <phoneticPr fontId="2"/>
  </si>
  <si>
    <t>堺</t>
    <rPh sb="0" eb="1">
      <t>サカイ</t>
    </rPh>
    <phoneticPr fontId="2"/>
  </si>
  <si>
    <t>笠松</t>
    <rPh sb="0" eb="2">
      <t>カサマツ</t>
    </rPh>
    <phoneticPr fontId="2"/>
  </si>
  <si>
    <t>商品名から商品IDを検索する（INDEX / MATCH）</t>
    <rPh sb="0" eb="3">
      <t>ショウヒンメイ</t>
    </rPh>
    <rPh sb="5" eb="7">
      <t>ショウヒン</t>
    </rPh>
    <rPh sb="10" eb="12">
      <t>ケンサク</t>
    </rPh>
    <phoneticPr fontId="2"/>
  </si>
  <si>
    <t>２次元表の行見出しと列見出しから検索する（INDEX / MATCH）</t>
    <rPh sb="1" eb="4">
      <t>ジゲンヒョウ</t>
    </rPh>
    <rPh sb="5" eb="8">
      <t>ギョウミダ</t>
    </rPh>
    <rPh sb="10" eb="13">
      <t>レツミダ</t>
    </rPh>
    <rPh sb="16" eb="18">
      <t>ケンサク</t>
    </rPh>
    <phoneticPr fontId="2"/>
  </si>
  <si>
    <t>複数の該当データをすべて取り出す（INDX / SMALL）</t>
    <rPh sb="0" eb="2">
      <t>フクスウ</t>
    </rPh>
    <rPh sb="3" eb="5">
      <t>ガイトウ</t>
    </rPh>
    <rPh sb="12" eb="13">
      <t>ト</t>
    </rPh>
    <rPh sb="14" eb="15">
      <t>ダ</t>
    </rPh>
    <phoneticPr fontId="2"/>
  </si>
  <si>
    <t>「〇〇IF」系関数の条件指定の基礎</t>
    <rPh sb="6" eb="7">
      <t>ケイ</t>
    </rPh>
    <rPh sb="7" eb="9">
      <t>カンスウ</t>
    </rPh>
    <rPh sb="10" eb="12">
      <t>ジョウケン</t>
    </rPh>
    <rPh sb="12" eb="14">
      <t>シテイ</t>
    </rPh>
    <rPh sb="15" eb="17">
      <t>キソ</t>
    </rPh>
    <phoneticPr fontId="2"/>
  </si>
  <si>
    <t>条件</t>
    <rPh sb="0" eb="2">
      <t>ジョウケン</t>
    </rPh>
    <phoneticPr fontId="2"/>
  </si>
  <si>
    <t>人数</t>
    <rPh sb="0" eb="2">
      <t>ニンズウ</t>
    </rPh>
    <phoneticPr fontId="2"/>
  </si>
  <si>
    <t>購入額計</t>
    <rPh sb="0" eb="2">
      <t>コウニュウ</t>
    </rPh>
    <rPh sb="2" eb="3">
      <t>ガク</t>
    </rPh>
    <rPh sb="3" eb="4">
      <t>ケイ</t>
    </rPh>
    <phoneticPr fontId="2"/>
  </si>
  <si>
    <t>性別</t>
    <rPh sb="0" eb="2">
      <t>セイベツ</t>
    </rPh>
    <phoneticPr fontId="2"/>
  </si>
  <si>
    <t>年間購入額</t>
    <rPh sb="0" eb="2">
      <t>ネンカン</t>
    </rPh>
    <rPh sb="2" eb="5">
      <t>コウニュウガク</t>
    </rPh>
    <phoneticPr fontId="2"/>
  </si>
  <si>
    <t>加入日</t>
    <rPh sb="0" eb="3">
      <t>カニュウビ</t>
    </rPh>
    <phoneticPr fontId="2"/>
  </si>
  <si>
    <t>高田　智也</t>
    <rPh sb="0" eb="2">
      <t>タカダ</t>
    </rPh>
    <rPh sb="3" eb="5">
      <t>トモヤ</t>
    </rPh>
    <phoneticPr fontId="2"/>
  </si>
  <si>
    <t>新島　弥生</t>
    <rPh sb="0" eb="2">
      <t>ニイジマ</t>
    </rPh>
    <rPh sb="3" eb="5">
      <t>ヤヨイ</t>
    </rPh>
    <phoneticPr fontId="2"/>
  </si>
  <si>
    <t>岡島　健介</t>
    <rPh sb="0" eb="2">
      <t>オカジマ</t>
    </rPh>
    <rPh sb="3" eb="5">
      <t>ケンスケ</t>
    </rPh>
    <phoneticPr fontId="2"/>
  </si>
  <si>
    <t>増田　総</t>
    <rPh sb="0" eb="2">
      <t>マスダ</t>
    </rPh>
    <rPh sb="3" eb="4">
      <t>ソウ</t>
    </rPh>
    <phoneticPr fontId="2"/>
  </si>
  <si>
    <t>女</t>
    <rPh sb="0" eb="1">
      <t>オンナ</t>
    </rPh>
    <phoneticPr fontId="2"/>
  </si>
  <si>
    <t>男</t>
    <rPh sb="0" eb="1">
      <t>オトコ</t>
    </rPh>
    <phoneticPr fontId="2"/>
  </si>
  <si>
    <t>東京都杉並区</t>
    <rPh sb="0" eb="3">
      <t>トウキョウト</t>
    </rPh>
    <rPh sb="3" eb="6">
      <t>スギナミク</t>
    </rPh>
    <phoneticPr fontId="2"/>
  </si>
  <si>
    <t>千葉県浦安市</t>
    <rPh sb="0" eb="3">
      <t>チバケン</t>
    </rPh>
    <rPh sb="3" eb="6">
      <t>ウラヤスシ</t>
    </rPh>
    <phoneticPr fontId="2"/>
  </si>
  <si>
    <t>東京都八王子市</t>
    <rPh sb="0" eb="3">
      <t>トウキョウト</t>
    </rPh>
    <rPh sb="3" eb="7">
      <t>ハチオウジシ</t>
    </rPh>
    <phoneticPr fontId="2"/>
  </si>
  <si>
    <t>埼玉県上尾市</t>
    <rPh sb="0" eb="3">
      <t>サイタマケン</t>
    </rPh>
    <rPh sb="3" eb="6">
      <t>カミオシ</t>
    </rPh>
    <phoneticPr fontId="2"/>
  </si>
  <si>
    <t>東京都北区</t>
    <rPh sb="0" eb="3">
      <t>トウキョウト</t>
    </rPh>
    <rPh sb="3" eb="5">
      <t>キタク</t>
    </rPh>
    <phoneticPr fontId="2"/>
  </si>
  <si>
    <t>千葉県木更津市</t>
    <rPh sb="0" eb="3">
      <t>チバケン</t>
    </rPh>
    <rPh sb="3" eb="6">
      <t>キサラヅ</t>
    </rPh>
    <rPh sb="6" eb="7">
      <t>シ</t>
    </rPh>
    <phoneticPr fontId="2"/>
  </si>
  <si>
    <t>神奈川県横浜市</t>
    <rPh sb="0" eb="4">
      <t>カナガワケン</t>
    </rPh>
    <rPh sb="4" eb="7">
      <t>ヨコハマシ</t>
    </rPh>
    <phoneticPr fontId="2"/>
  </si>
  <si>
    <t>東京都港区</t>
    <rPh sb="0" eb="3">
      <t>トウキョウト</t>
    </rPh>
    <rPh sb="3" eb="5">
      <t>ミナトク</t>
    </rPh>
    <phoneticPr fontId="2"/>
  </si>
  <si>
    <t>性別が</t>
    <rPh sb="0" eb="2">
      <t>セイベツ</t>
    </rPh>
    <phoneticPr fontId="2"/>
  </si>
  <si>
    <t>と等しい</t>
    <rPh sb="1" eb="2">
      <t>ヒト</t>
    </rPh>
    <phoneticPr fontId="2"/>
  </si>
  <si>
    <t>年齢が</t>
    <rPh sb="0" eb="2">
      <t>ネンレイ</t>
    </rPh>
    <phoneticPr fontId="2"/>
  </si>
  <si>
    <t>歳以上</t>
    <rPh sb="0" eb="1">
      <t>サイ</t>
    </rPh>
    <rPh sb="1" eb="3">
      <t>イジョウ</t>
    </rPh>
    <phoneticPr fontId="2"/>
  </si>
  <si>
    <t>住所が</t>
    <rPh sb="0" eb="2">
      <t>ジュウショ</t>
    </rPh>
    <phoneticPr fontId="2"/>
  </si>
  <si>
    <t>から始まる</t>
    <rPh sb="2" eb="3">
      <t>ハジ</t>
    </rPh>
    <phoneticPr fontId="2"/>
  </si>
  <si>
    <t>でない</t>
    <phoneticPr fontId="2"/>
  </si>
  <si>
    <t>加入日が</t>
    <rPh sb="0" eb="3">
      <t>カニュウビ</t>
    </rPh>
    <phoneticPr fontId="2"/>
  </si>
  <si>
    <t>年</t>
    <rPh sb="0" eb="1">
      <t>ネン</t>
    </rPh>
    <phoneticPr fontId="2"/>
  </si>
  <si>
    <t>複数条件を組み合わせて集計</t>
    <rPh sb="0" eb="2">
      <t>フクスウ</t>
    </rPh>
    <rPh sb="2" eb="4">
      <t>ジョウケン</t>
    </rPh>
    <rPh sb="5" eb="6">
      <t>ク</t>
    </rPh>
    <rPh sb="7" eb="8">
      <t>ア</t>
    </rPh>
    <rPh sb="11" eb="13">
      <t>シュウケイ</t>
    </rPh>
    <phoneticPr fontId="2"/>
  </si>
  <si>
    <t>30歳以上 AND 住所が東京都</t>
    <rPh sb="2" eb="3">
      <t>サイ</t>
    </rPh>
    <rPh sb="3" eb="5">
      <t>イジョウ</t>
    </rPh>
    <rPh sb="10" eb="12">
      <t>ジュウショ</t>
    </rPh>
    <rPh sb="13" eb="16">
      <t>トウキョウト</t>
    </rPh>
    <phoneticPr fontId="2"/>
  </si>
  <si>
    <t>30歳以上 AND (住所が東京都 OR 性別が男)</t>
    <rPh sb="2" eb="3">
      <t>サイ</t>
    </rPh>
    <rPh sb="3" eb="5">
      <t>イジョウ</t>
    </rPh>
    <rPh sb="11" eb="13">
      <t>ジュウショ</t>
    </rPh>
    <rPh sb="14" eb="17">
      <t>トウキョウト</t>
    </rPh>
    <rPh sb="21" eb="23">
      <t>セイベツ</t>
    </rPh>
    <rPh sb="24" eb="25">
      <t>オトコ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</si>
</sst>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#,##0_ "/>
    <numFmt numFmtId="177" formatCode="yyyy/m/d;@"/>
    <numFmt numFmtId="178" formatCode="yyyy/m/d\(aaa\)"/>
    <numFmt numFmtId="179" formatCode="0&quot; 日&quot;"/>
    <numFmt numFmtId="180" formatCode="yyyy/m"/>
    <numFmt numFmtId="181" formatCode="yyyy/m/d\ \(aaa\)"/>
    <numFmt numFmtId="182" formatCode="#,##0_);[Red]\(#,##0\)"/>
    <numFmt numFmtId="187" formatCode="yyyy/mm/dd"/>
    <numFmt numFmtId="189" formatCode="0_ "/>
    <numFmt numFmtId="190" formatCode="0_);[Red]\(0\)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182" fontId="0" fillId="0" borderId="1" xfId="0" applyNumberForma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1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87" fontId="0" fillId="0" borderId="1" xfId="0" applyNumberForma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90" fontId="0" fillId="0" borderId="6" xfId="0" applyNumberFormat="1" applyBorder="1" applyAlignment="1">
      <alignment horizontal="center" vertical="center"/>
    </xf>
    <xf numFmtId="189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jet/AppData/Local/Packages/Microsoft.Office.Desktop_8wekyb3d8bbwe/LocalCache/Roaming/Microsoft/AddIns/My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IRAGANAW"/>
      <definedName name="KATAKANAN"/>
      <definedName name="KATAKANAW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sheetPr codeName="Sheet1"/>
  <dimension ref="A1:G6"/>
  <sheetViews>
    <sheetView showGridLines="0" workbookViewId="0">
      <selection activeCell="B2" sqref="B2:B5"/>
    </sheetView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sheetPr codeName="Sheet2"/>
  <dimension ref="A1:K16"/>
  <sheetViews>
    <sheetView showGridLines="0" workbookViewId="0">
      <selection activeCell="C13" sqref="C13"/>
    </sheetView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39" t="s">
        <v>26</v>
      </c>
      <c r="B12" s="40"/>
      <c r="C12" s="4" t="s">
        <v>16</v>
      </c>
    </row>
    <row r="13" spans="1:11">
      <c r="A13" s="41" t="s">
        <v>27</v>
      </c>
      <c r="B13" s="41"/>
      <c r="C13" s="7" t="b">
        <f>COUNTIF(A13, "東京都*区*")=1</f>
        <v>1</v>
      </c>
    </row>
    <row r="14" spans="1:11">
      <c r="A14" s="41" t="s">
        <v>29</v>
      </c>
      <c r="B14" s="41"/>
      <c r="C14" s="7" t="b">
        <f>COUNTIF(A14, "東京都*区*")=1</f>
        <v>0</v>
      </c>
    </row>
    <row r="15" spans="1:11">
      <c r="A15" s="42" t="s">
        <v>30</v>
      </c>
      <c r="B15" s="42"/>
      <c r="C15" s="7" t="b">
        <f>COUNTIF(A15, "東京都*区*")=1</f>
        <v>1</v>
      </c>
    </row>
    <row r="16" spans="1:11">
      <c r="A16" s="42" t="s">
        <v>31</v>
      </c>
      <c r="B16" s="42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sheetPr codeName="Sheet3"/>
  <dimension ref="A1:J29"/>
  <sheetViews>
    <sheetView showGridLines="0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3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6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5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4"/>
    </row>
    <row r="18" spans="1:9">
      <c r="A18" s="17" t="s">
        <v>57</v>
      </c>
    </row>
    <row r="19" spans="1:9">
      <c r="A19" s="39" t="s">
        <v>58</v>
      </c>
      <c r="B19" s="40"/>
      <c r="C19" s="4" t="s">
        <v>60</v>
      </c>
      <c r="E19" s="39" t="s">
        <v>58</v>
      </c>
      <c r="F19" s="40"/>
      <c r="G19" s="4" t="s">
        <v>60</v>
      </c>
      <c r="I19" s="4" t="s">
        <v>16</v>
      </c>
    </row>
    <row r="20" spans="1:9">
      <c r="A20" s="42" t="s">
        <v>59</v>
      </c>
      <c r="B20" s="42"/>
      <c r="C20" s="10" t="s">
        <v>61</v>
      </c>
      <c r="E20" s="42" t="s">
        <v>59</v>
      </c>
      <c r="F20" s="42"/>
      <c r="G20" s="10" t="s">
        <v>61</v>
      </c>
      <c r="I20" s="10" t="b">
        <f t="array" ref="I20">AND(A20:C22=E20:G22)</f>
        <v>0</v>
      </c>
    </row>
    <row r="21" spans="1:9">
      <c r="A21" s="41" t="s">
        <v>62</v>
      </c>
      <c r="B21" s="41"/>
      <c r="C21" s="10" t="s">
        <v>63</v>
      </c>
      <c r="E21" s="41" t="s">
        <v>62</v>
      </c>
      <c r="F21" s="41"/>
      <c r="G21" s="18" t="s">
        <v>66</v>
      </c>
    </row>
    <row r="22" spans="1:9">
      <c r="A22" s="42" t="s">
        <v>64</v>
      </c>
      <c r="B22" s="42"/>
      <c r="C22" s="10" t="s">
        <v>65</v>
      </c>
      <c r="E22" s="42" t="s">
        <v>64</v>
      </c>
      <c r="F22" s="42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38C8-AF2A-4DAE-B65C-954F5C2449C2}">
  <sheetPr codeName="Sheet4"/>
  <dimension ref="A1:H34"/>
  <sheetViews>
    <sheetView showGridLines="0" workbookViewId="0">
      <selection activeCell="B4" sqref="B4"/>
    </sheetView>
  </sheetViews>
  <sheetFormatPr defaultRowHeight="18.75"/>
  <cols>
    <col min="1" max="1" width="15.6640625" customWidth="1"/>
    <col min="3" max="8" width="11.77734375" customWidth="1"/>
  </cols>
  <sheetData>
    <row r="1" spans="1:7">
      <c r="A1" s="8" t="s">
        <v>77</v>
      </c>
    </row>
    <row r="2" spans="1:7">
      <c r="A2" s="4" t="s">
        <v>71</v>
      </c>
      <c r="C2" s="4" t="s">
        <v>72</v>
      </c>
      <c r="D2" s="4" t="s">
        <v>73</v>
      </c>
      <c r="E2" s="4" t="s">
        <v>74</v>
      </c>
      <c r="F2" s="4" t="s">
        <v>75</v>
      </c>
      <c r="G2" s="4" t="s">
        <v>76</v>
      </c>
    </row>
    <row r="3" spans="1:7">
      <c r="A3" s="20">
        <v>44450</v>
      </c>
      <c r="C3" s="21">
        <f>EOMONTH($A$3, -2)</f>
        <v>44408</v>
      </c>
      <c r="D3" s="21">
        <f>EOMONTH($A$3, -1)</f>
        <v>44439</v>
      </c>
      <c r="E3" s="21">
        <f>EOMONTH($A$3, 0)</f>
        <v>44469</v>
      </c>
      <c r="F3" s="21">
        <f>EOMONTH($A$3, 1)</f>
        <v>44500</v>
      </c>
      <c r="G3" s="21">
        <f>EOMONTH($A$3, 2)</f>
        <v>44530</v>
      </c>
    </row>
    <row r="5" spans="1:7">
      <c r="A5" s="8" t="s">
        <v>82</v>
      </c>
    </row>
    <row r="6" spans="1:7">
      <c r="A6" s="4" t="s">
        <v>71</v>
      </c>
      <c r="C6" s="4" t="s">
        <v>72</v>
      </c>
      <c r="D6" s="4" t="s">
        <v>73</v>
      </c>
      <c r="E6" s="4" t="s">
        <v>74</v>
      </c>
      <c r="F6" s="4" t="s">
        <v>75</v>
      </c>
      <c r="G6" s="4" t="s">
        <v>76</v>
      </c>
    </row>
    <row r="7" spans="1:7">
      <c r="A7" s="20">
        <v>44450</v>
      </c>
      <c r="C7" s="21">
        <f>EOMONTH($A$3, -2)+10</f>
        <v>44418</v>
      </c>
      <c r="D7" s="21">
        <f>EOMONTH($A$3, -1)+10</f>
        <v>44449</v>
      </c>
      <c r="E7" s="21">
        <f>EOMONTH($A$3, 0)+10</f>
        <v>44479</v>
      </c>
      <c r="F7" s="21">
        <f>EOMONTH($A$3, 1)+10</f>
        <v>44510</v>
      </c>
      <c r="G7" s="21">
        <f>EOMONTH($A$3, 2)+10</f>
        <v>44540</v>
      </c>
    </row>
    <row r="9" spans="1:7">
      <c r="A9" s="8" t="s">
        <v>83</v>
      </c>
    </row>
    <row r="10" spans="1:7">
      <c r="A10" s="4" t="s">
        <v>78</v>
      </c>
      <c r="B10" s="4" t="s">
        <v>79</v>
      </c>
      <c r="C10" s="4" t="s">
        <v>80</v>
      </c>
      <c r="E10" s="4" t="s">
        <v>81</v>
      </c>
    </row>
    <row r="11" spans="1:7">
      <c r="A11" s="22">
        <v>44501</v>
      </c>
      <c r="B11" s="12" t="str">
        <f t="shared" ref="B11:B19" si="0">IF(NETWORKDAYS.INTL(A11,A11,1,$E$11:$E$12)=0, "休み", "")</f>
        <v/>
      </c>
      <c r="C11" s="12"/>
      <c r="E11" s="20">
        <v>44503</v>
      </c>
    </row>
    <row r="12" spans="1:7">
      <c r="A12" s="22">
        <v>44502</v>
      </c>
      <c r="B12" s="12" t="str">
        <f t="shared" si="0"/>
        <v/>
      </c>
      <c r="C12" s="12"/>
      <c r="E12" s="20">
        <v>44523</v>
      </c>
    </row>
    <row r="13" spans="1:7">
      <c r="A13" s="22">
        <v>44503</v>
      </c>
      <c r="B13" s="12" t="str">
        <f t="shared" si="0"/>
        <v>休み</v>
      </c>
      <c r="C13" s="12"/>
    </row>
    <row r="14" spans="1:7">
      <c r="A14" s="22">
        <v>44504</v>
      </c>
      <c r="B14" s="12" t="str">
        <f t="shared" si="0"/>
        <v/>
      </c>
      <c r="C14" s="12"/>
    </row>
    <row r="15" spans="1:7">
      <c r="A15" s="22">
        <v>44505</v>
      </c>
      <c r="B15" s="12" t="str">
        <f t="shared" si="0"/>
        <v/>
      </c>
      <c r="C15" s="12"/>
      <c r="E15" s="4" t="s">
        <v>84</v>
      </c>
    </row>
    <row r="16" spans="1:7">
      <c r="A16" s="22">
        <v>44506</v>
      </c>
      <c r="B16" s="12" t="str">
        <f t="shared" si="0"/>
        <v>休み</v>
      </c>
      <c r="C16" s="12"/>
      <c r="E16" s="23">
        <f>NETWORKDAYS.INTL(A11,A19,1,E11:$E$12)</f>
        <v>6</v>
      </c>
    </row>
    <row r="17" spans="1:8">
      <c r="A17" s="22">
        <v>44507</v>
      </c>
      <c r="B17" s="12" t="str">
        <f t="shared" si="0"/>
        <v>休み</v>
      </c>
      <c r="C17" s="12"/>
    </row>
    <row r="18" spans="1:8">
      <c r="A18" s="22">
        <v>44508</v>
      </c>
      <c r="B18" s="12" t="str">
        <f t="shared" si="0"/>
        <v/>
      </c>
      <c r="C18" s="12"/>
    </row>
    <row r="19" spans="1:8">
      <c r="A19" s="22">
        <v>44509</v>
      </c>
      <c r="B19" s="12" t="str">
        <f t="shared" si="0"/>
        <v/>
      </c>
      <c r="C19" s="12"/>
    </row>
    <row r="21" spans="1:8">
      <c r="A21" s="8" t="s">
        <v>85</v>
      </c>
    </row>
    <row r="22" spans="1:8">
      <c r="A22" s="4" t="s">
        <v>86</v>
      </c>
      <c r="B22" s="43" t="s">
        <v>87</v>
      </c>
      <c r="C22" s="43"/>
      <c r="D22" s="43" t="s">
        <v>88</v>
      </c>
      <c r="E22" s="43"/>
      <c r="G22" t="s">
        <v>89</v>
      </c>
    </row>
    <row r="23" spans="1:8">
      <c r="A23" s="24">
        <v>44287</v>
      </c>
      <c r="B23" s="44">
        <f t="shared" ref="B23:B28" si="1">WORKDAY.INTL(EOMONTH(A23,-1),1,1, $G$23:$H$26)</f>
        <v>44287</v>
      </c>
      <c r="C23" s="44"/>
      <c r="D23" s="44">
        <f t="shared" ref="D23:D28" si="2">WORKDAY.INTL(EOMONTH(A23,0)+1,-1,1,$G$23:$H$26)</f>
        <v>44316</v>
      </c>
      <c r="E23" s="44"/>
      <c r="G23" s="20">
        <v>44315</v>
      </c>
      <c r="H23" s="20">
        <v>44396</v>
      </c>
    </row>
    <row r="24" spans="1:8">
      <c r="A24" s="24">
        <v>44317</v>
      </c>
      <c r="B24" s="44">
        <f t="shared" si="1"/>
        <v>44322</v>
      </c>
      <c r="C24" s="44"/>
      <c r="D24" s="44">
        <f t="shared" si="2"/>
        <v>44347</v>
      </c>
      <c r="E24" s="44"/>
      <c r="G24" s="20">
        <v>44319</v>
      </c>
      <c r="H24" s="20">
        <v>44419</v>
      </c>
    </row>
    <row r="25" spans="1:8">
      <c r="A25" s="24">
        <v>44348</v>
      </c>
      <c r="B25" s="44">
        <f t="shared" si="1"/>
        <v>44348</v>
      </c>
      <c r="C25" s="44"/>
      <c r="D25" s="44">
        <f t="shared" si="2"/>
        <v>44377</v>
      </c>
      <c r="E25" s="44"/>
      <c r="G25" s="20">
        <v>44320</v>
      </c>
      <c r="H25" s="20">
        <v>44459</v>
      </c>
    </row>
    <row r="26" spans="1:8">
      <c r="A26" s="24">
        <v>44378</v>
      </c>
      <c r="B26" s="44">
        <f t="shared" si="1"/>
        <v>44378</v>
      </c>
      <c r="C26" s="44"/>
      <c r="D26" s="44">
        <f t="shared" si="2"/>
        <v>44407</v>
      </c>
      <c r="E26" s="44"/>
      <c r="G26" s="20">
        <v>44321</v>
      </c>
      <c r="H26" s="20">
        <v>44462</v>
      </c>
    </row>
    <row r="27" spans="1:8">
      <c r="A27" s="24">
        <v>44409</v>
      </c>
      <c r="B27" s="44">
        <f t="shared" si="1"/>
        <v>44410</v>
      </c>
      <c r="C27" s="44"/>
      <c r="D27" s="44">
        <f t="shared" si="2"/>
        <v>44439</v>
      </c>
      <c r="E27" s="44"/>
    </row>
    <row r="28" spans="1:8">
      <c r="A28" s="24">
        <v>44440</v>
      </c>
      <c r="B28" s="44">
        <f t="shared" si="1"/>
        <v>44440</v>
      </c>
      <c r="C28" s="44"/>
      <c r="D28" s="44">
        <f t="shared" si="2"/>
        <v>44469</v>
      </c>
      <c r="E28" s="44"/>
    </row>
    <row r="30" spans="1:8">
      <c r="A30" s="8" t="s">
        <v>91</v>
      </c>
    </row>
    <row r="31" spans="1:8">
      <c r="A31" s="4" t="s">
        <v>86</v>
      </c>
      <c r="B31" s="43" t="s">
        <v>90</v>
      </c>
      <c r="C31" s="43"/>
    </row>
    <row r="32" spans="1:8">
      <c r="A32" s="24">
        <v>44287</v>
      </c>
      <c r="B32" s="44">
        <f>WORKDAY.INTL(A32-1, 3, "1110111")</f>
        <v>44301</v>
      </c>
      <c r="C32" s="44"/>
    </row>
    <row r="33" spans="1:3">
      <c r="A33" s="24">
        <v>44317</v>
      </c>
      <c r="B33" s="44">
        <f>WORKDAY.INTL(A33-1, 3, "1110111")</f>
        <v>44336</v>
      </c>
      <c r="C33" s="44"/>
    </row>
    <row r="34" spans="1:3">
      <c r="A34" s="24">
        <v>44348</v>
      </c>
      <c r="B34" s="44">
        <f>WORKDAY.INTL(A34-1, 3, "1110111")</f>
        <v>44364</v>
      </c>
      <c r="C34" s="44"/>
    </row>
  </sheetData>
  <mergeCells count="18">
    <mergeCell ref="D27:E27"/>
    <mergeCell ref="D28:E28"/>
    <mergeCell ref="B22:C22"/>
    <mergeCell ref="B23:C23"/>
    <mergeCell ref="B24:C24"/>
    <mergeCell ref="B25:C25"/>
    <mergeCell ref="B26:C26"/>
    <mergeCell ref="B27:C27"/>
    <mergeCell ref="D22:E22"/>
    <mergeCell ref="D23:E23"/>
    <mergeCell ref="D24:E24"/>
    <mergeCell ref="D25:E25"/>
    <mergeCell ref="D26:E26"/>
    <mergeCell ref="B31:C31"/>
    <mergeCell ref="B32:C32"/>
    <mergeCell ref="B33:C33"/>
    <mergeCell ref="B34:C34"/>
    <mergeCell ref="B28:C28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FFF2-3B1B-4139-8C23-030F7F9843D1}">
  <sheetPr codeName="Sheet5"/>
  <dimension ref="A1:D21"/>
  <sheetViews>
    <sheetView showGridLines="0" workbookViewId="0">
      <selection activeCell="B18" sqref="B18"/>
    </sheetView>
  </sheetViews>
  <sheetFormatPr defaultRowHeight="18.75"/>
  <cols>
    <col min="1" max="1" width="16.77734375" customWidth="1"/>
    <col min="2" max="2" width="13.88671875" customWidth="1"/>
    <col min="3" max="3" width="22.88671875" customWidth="1"/>
    <col min="4" max="4" width="20.88671875" customWidth="1"/>
  </cols>
  <sheetData>
    <row r="1" spans="1:4">
      <c r="A1" s="8" t="s">
        <v>92</v>
      </c>
    </row>
    <row r="2" spans="1:4">
      <c r="A2" s="4" t="s">
        <v>93</v>
      </c>
      <c r="B2" s="4" t="s">
        <v>97</v>
      </c>
      <c r="C2" s="4" t="s">
        <v>98</v>
      </c>
      <c r="D2" s="4" t="s">
        <v>100</v>
      </c>
    </row>
    <row r="3" spans="1:4">
      <c r="A3" s="19" t="s">
        <v>94</v>
      </c>
      <c r="B3" s="19" t="str">
        <f>TRIM(A3)</f>
        <v>鈴木　隆</v>
      </c>
      <c r="C3" s="19" t="str">
        <f>SUBSTITUTE(B3, " ", "　")</f>
        <v>鈴木　隆</v>
      </c>
      <c r="D3" s="19" t="s">
        <v>99</v>
      </c>
    </row>
    <row r="4" spans="1:4">
      <c r="A4" s="19" t="s">
        <v>95</v>
      </c>
      <c r="B4" s="19" t="str">
        <f>TRIM(A4)</f>
        <v>斎藤 雅美</v>
      </c>
      <c r="C4" s="19" t="str">
        <f>SUBSTITUTE(B4, " ", "　")</f>
        <v>斎藤　雅美</v>
      </c>
      <c r="D4" s="19" t="s">
        <v>99</v>
      </c>
    </row>
    <row r="5" spans="1:4">
      <c r="A5" s="19" t="s">
        <v>96</v>
      </c>
      <c r="B5" s="19" t="str">
        <f>TRIM(A5)</f>
        <v>松原　恵一</v>
      </c>
      <c r="C5" s="19" t="str">
        <f>SUBSTITUTE(B5, " ", "　")</f>
        <v>松原　恵一</v>
      </c>
      <c r="D5" s="19" t="s">
        <v>99</v>
      </c>
    </row>
    <row r="6" spans="1:4" ht="37.5">
      <c r="A6" s="25" t="s">
        <v>101</v>
      </c>
      <c r="B6" s="19" t="s">
        <v>99</v>
      </c>
      <c r="C6" s="19" t="s">
        <v>99</v>
      </c>
      <c r="D6" s="19" t="str">
        <f>SUBSTITUTE(A6, CHAR(10), "　")</f>
        <v>営業部　小林裕子</v>
      </c>
    </row>
    <row r="8" spans="1:4">
      <c r="A8" s="8" t="s">
        <v>107</v>
      </c>
    </row>
    <row r="9" spans="1:4">
      <c r="A9" s="4" t="s">
        <v>69</v>
      </c>
      <c r="B9" s="4" t="s">
        <v>105</v>
      </c>
      <c r="C9" s="4" t="s">
        <v>106</v>
      </c>
    </row>
    <row r="10" spans="1:4">
      <c r="A10" s="19" t="s">
        <v>102</v>
      </c>
      <c r="B10" s="19" t="str">
        <f>LEFT(A10, FIND("　", A10)-1)</f>
        <v>佐久間</v>
      </c>
      <c r="C10" s="19" t="str">
        <f>MID(A10, FIND("　", A10)+1, LEN(A10))</f>
        <v>慶</v>
      </c>
    </row>
    <row r="11" spans="1:4">
      <c r="A11" s="19" t="s">
        <v>103</v>
      </c>
      <c r="B11" s="19" t="str">
        <f>LEFT(A11, FIND("　", A11)-1)</f>
        <v>布川</v>
      </c>
      <c r="C11" s="19" t="str">
        <f>MID(A11, FIND("　", A11)+1, LEN(A11))</f>
        <v>奈津子</v>
      </c>
    </row>
    <row r="12" spans="1:4">
      <c r="A12" s="19" t="s">
        <v>104</v>
      </c>
      <c r="B12" s="19" t="str">
        <f>LEFT(A12, FIND("　", A12)-1)</f>
        <v>星</v>
      </c>
      <c r="C12" s="19" t="str">
        <f>MID(A12, FIND("　", A12)+1, LEN(A12))</f>
        <v>紘一</v>
      </c>
    </row>
    <row r="14" spans="1:4">
      <c r="A14" s="8" t="s">
        <v>108</v>
      </c>
    </row>
    <row r="15" spans="1:4">
      <c r="A15" s="4" t="s">
        <v>109</v>
      </c>
      <c r="B15" s="4" t="s">
        <v>110</v>
      </c>
    </row>
    <row r="16" spans="1:4">
      <c r="A16" s="26" t="s">
        <v>111</v>
      </c>
      <c r="B16" s="26" t="str">
        <f>[1]!KATAKANAW(A16)</f>
        <v>アイウエオ</v>
      </c>
    </row>
    <row r="17" spans="1:2">
      <c r="A17" s="26" t="s">
        <v>111</v>
      </c>
      <c r="B17" s="26" t="str">
        <f>[1]!KATAKANAN(A17)</f>
        <v>ｱｲｳｴｵ</v>
      </c>
    </row>
    <row r="18" spans="1:2">
      <c r="A18" s="26" t="s">
        <v>112</v>
      </c>
      <c r="B18" s="26" t="str">
        <f>[1]!HIRAGANAW(A18)</f>
        <v>かきくけこ</v>
      </c>
    </row>
    <row r="19" spans="1:2">
      <c r="A19" s="26" t="s">
        <v>112</v>
      </c>
      <c r="B19" s="26" t="str">
        <f>[1]!KATAKANAN(A19)</f>
        <v>ｶｷｸｹｺ</v>
      </c>
    </row>
    <row r="20" spans="1:2">
      <c r="A20" s="26" t="s">
        <v>113</v>
      </c>
      <c r="B20" s="26" t="str">
        <f>[1]!HIRAGANAW(A20)</f>
        <v>さしすせそ</v>
      </c>
    </row>
    <row r="21" spans="1:2">
      <c r="A21" s="26" t="s">
        <v>113</v>
      </c>
      <c r="B21" s="26" t="str">
        <f>[1]!KATAKANAW(A21)</f>
        <v>サシスセソ</v>
      </c>
    </row>
  </sheetData>
  <phoneticPr fontId="2"/>
  <pageMargins left="0.7" right="0.7" top="0.75" bottom="0.75" header="0.3" footer="0.3"/>
  <pageSetup paperSize="0" orientation="portrait" horizontalDpi="0" verticalDpi="0" copies="0"/>
  <ignoredErrors>
    <ignoredError sqref="B18:B1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252EF-972F-4E06-B4D8-48C1C01FD948}">
  <dimension ref="A1:I26"/>
  <sheetViews>
    <sheetView showGridLines="0" workbookViewId="0">
      <selection activeCell="F23" sqref="F23:F26"/>
    </sheetView>
  </sheetViews>
  <sheetFormatPr defaultRowHeight="18.75"/>
  <cols>
    <col min="2" max="2" width="10.77734375" customWidth="1"/>
    <col min="8" max="8" width="10.77734375" customWidth="1"/>
  </cols>
  <sheetData>
    <row r="1" spans="1:9">
      <c r="A1" s="8" t="s">
        <v>144</v>
      </c>
    </row>
    <row r="2" spans="1:9">
      <c r="A2" t="s">
        <v>114</v>
      </c>
      <c r="G2" t="s">
        <v>120</v>
      </c>
    </row>
    <row r="3" spans="1:9">
      <c r="A3" s="4" t="s">
        <v>115</v>
      </c>
      <c r="B3" s="4" t="s">
        <v>116</v>
      </c>
      <c r="C3" s="4" t="s">
        <v>117</v>
      </c>
      <c r="D3" s="4" t="s">
        <v>118</v>
      </c>
      <c r="E3" s="4" t="s">
        <v>119</v>
      </c>
      <c r="G3" s="4" t="s">
        <v>115</v>
      </c>
      <c r="H3" s="4" t="s">
        <v>116</v>
      </c>
      <c r="I3" s="4" t="s">
        <v>117</v>
      </c>
    </row>
    <row r="4" spans="1:9">
      <c r="A4" s="29" t="s">
        <v>122</v>
      </c>
      <c r="B4" s="27" t="str">
        <f t="shared" ref="B4:C8" si="0">IFERROR(VLOOKUP($A4, 商品リスト, COLUMN(B4), FALSE), "")</f>
        <v>炊飯器５合</v>
      </c>
      <c r="C4" s="27">
        <f t="shared" si="0"/>
        <v>14800</v>
      </c>
      <c r="D4" s="29">
        <v>1</v>
      </c>
      <c r="E4" s="27">
        <f>IFERROR(C4*D4, "")</f>
        <v>14800</v>
      </c>
      <c r="G4" s="27" t="s">
        <v>121</v>
      </c>
      <c r="H4" s="27" t="s">
        <v>126</v>
      </c>
      <c r="I4" s="5">
        <v>12800</v>
      </c>
    </row>
    <row r="5" spans="1:9">
      <c r="A5" s="29" t="s">
        <v>123</v>
      </c>
      <c r="B5" s="27" t="str">
        <f t="shared" si="0"/>
        <v>電気圧力鍋</v>
      </c>
      <c r="C5" s="27">
        <f t="shared" si="0"/>
        <v>13000</v>
      </c>
      <c r="D5" s="29">
        <v>2</v>
      </c>
      <c r="E5" s="27">
        <f t="shared" ref="E5:E8" si="1">IFERROR(C5*D5, "")</f>
        <v>26000</v>
      </c>
      <c r="G5" s="27" t="s">
        <v>122</v>
      </c>
      <c r="H5" s="27" t="s">
        <v>127</v>
      </c>
      <c r="I5" s="5">
        <v>14800</v>
      </c>
    </row>
    <row r="6" spans="1:9">
      <c r="A6" s="29" t="s">
        <v>125</v>
      </c>
      <c r="B6" s="27" t="str">
        <f t="shared" si="0"/>
        <v>トースター</v>
      </c>
      <c r="C6" s="27">
        <f t="shared" si="0"/>
        <v>4500</v>
      </c>
      <c r="D6" s="29">
        <v>7</v>
      </c>
      <c r="E6" s="27">
        <f t="shared" si="1"/>
        <v>31500</v>
      </c>
      <c r="G6" s="27" t="s">
        <v>123</v>
      </c>
      <c r="H6" s="27" t="s">
        <v>128</v>
      </c>
      <c r="I6" s="5">
        <v>13000</v>
      </c>
    </row>
    <row r="7" spans="1:9">
      <c r="A7" s="29"/>
      <c r="B7" s="27" t="str">
        <f t="shared" si="0"/>
        <v/>
      </c>
      <c r="C7" s="27" t="str">
        <f t="shared" si="0"/>
        <v/>
      </c>
      <c r="D7" s="29"/>
      <c r="E7" s="27" t="str">
        <f t="shared" si="1"/>
        <v/>
      </c>
      <c r="G7" s="27" t="s">
        <v>124</v>
      </c>
      <c r="H7" s="27" t="s">
        <v>129</v>
      </c>
      <c r="I7" s="5">
        <v>45000</v>
      </c>
    </row>
    <row r="8" spans="1:9">
      <c r="A8" s="29"/>
      <c r="B8" s="27" t="str">
        <f t="shared" si="0"/>
        <v/>
      </c>
      <c r="C8" s="27" t="str">
        <f t="shared" si="0"/>
        <v/>
      </c>
      <c r="D8" s="29"/>
      <c r="E8" s="27" t="str">
        <f t="shared" si="1"/>
        <v/>
      </c>
      <c r="G8" s="27" t="s">
        <v>125</v>
      </c>
      <c r="H8" s="27" t="s">
        <v>130</v>
      </c>
      <c r="I8" s="5">
        <v>4500</v>
      </c>
    </row>
    <row r="12" spans="1:9">
      <c r="A12" s="8" t="s">
        <v>145</v>
      </c>
    </row>
    <row r="13" spans="1:9">
      <c r="A13" s="4" t="s">
        <v>131</v>
      </c>
      <c r="B13" s="4" t="s">
        <v>132</v>
      </c>
      <c r="C13" s="4" t="s">
        <v>133</v>
      </c>
      <c r="D13" s="4" t="s">
        <v>134</v>
      </c>
      <c r="F13" s="39" t="s">
        <v>138</v>
      </c>
      <c r="G13" s="45"/>
      <c r="H13" s="40"/>
      <c r="I13" s="46" t="s">
        <v>134</v>
      </c>
    </row>
    <row r="14" spans="1:9">
      <c r="A14" s="27">
        <v>1001</v>
      </c>
      <c r="B14" s="27" t="s">
        <v>61</v>
      </c>
      <c r="C14" s="29">
        <v>16</v>
      </c>
      <c r="D14" s="5">
        <f>VLOOKUP($C14, $F$15:$I$18, 4, TRUE)</f>
        <v>1800</v>
      </c>
      <c r="F14" s="30" t="s">
        <v>139</v>
      </c>
      <c r="G14" s="31"/>
      <c r="H14" s="32" t="s">
        <v>140</v>
      </c>
      <c r="I14" s="47"/>
    </row>
    <row r="15" spans="1:9">
      <c r="A15" s="27">
        <v>1002</v>
      </c>
      <c r="B15" s="27" t="s">
        <v>135</v>
      </c>
      <c r="C15" s="29">
        <v>8</v>
      </c>
      <c r="D15" s="5">
        <f>VLOOKUP($C15, $F$15:$I$18, 4, TRUE)</f>
        <v>1400</v>
      </c>
      <c r="F15" s="34">
        <v>0</v>
      </c>
      <c r="G15" s="35" t="s">
        <v>142</v>
      </c>
      <c r="H15" s="36">
        <v>5</v>
      </c>
      <c r="I15" s="5">
        <v>1200</v>
      </c>
    </row>
    <row r="16" spans="1:9">
      <c r="A16" s="27">
        <v>1003</v>
      </c>
      <c r="B16" s="27" t="s">
        <v>136</v>
      </c>
      <c r="C16" s="29">
        <v>24</v>
      </c>
      <c r="D16" s="5" t="str">
        <f>VLOOKUP($C16, $F$15:$I$18, 4, TRUE)</f>
        <v>別配送</v>
      </c>
      <c r="F16" s="34">
        <v>5</v>
      </c>
      <c r="G16" s="35" t="s">
        <v>142</v>
      </c>
      <c r="H16" s="36">
        <v>10</v>
      </c>
      <c r="I16" s="5">
        <v>1400</v>
      </c>
    </row>
    <row r="17" spans="1:9">
      <c r="A17" s="27">
        <v>1004</v>
      </c>
      <c r="B17" s="27" t="s">
        <v>137</v>
      </c>
      <c r="C17" s="29">
        <v>2</v>
      </c>
      <c r="D17" s="5">
        <f>VLOOKUP($C17, $F$15:$I$18, 4, TRUE)</f>
        <v>1200</v>
      </c>
      <c r="F17" s="34">
        <v>10</v>
      </c>
      <c r="G17" s="35" t="s">
        <v>142</v>
      </c>
      <c r="H17" s="36">
        <v>20</v>
      </c>
      <c r="I17" s="5">
        <v>1800</v>
      </c>
    </row>
    <row r="18" spans="1:9">
      <c r="F18" s="34">
        <v>20</v>
      </c>
      <c r="G18" s="35" t="s">
        <v>142</v>
      </c>
      <c r="H18" s="36"/>
      <c r="I18" s="33" t="s">
        <v>141</v>
      </c>
    </row>
    <row r="20" spans="1:9">
      <c r="A20" s="8" t="s">
        <v>143</v>
      </c>
    </row>
    <row r="21" spans="1:9">
      <c r="A21" s="13" t="s">
        <v>148</v>
      </c>
      <c r="E21" t="s">
        <v>149</v>
      </c>
      <c r="H21" t="s">
        <v>158</v>
      </c>
    </row>
    <row r="22" spans="1:9">
      <c r="A22" s="4" t="s">
        <v>146</v>
      </c>
      <c r="B22" s="4" t="s">
        <v>147</v>
      </c>
      <c r="C22" s="4" t="s">
        <v>3</v>
      </c>
      <c r="E22" s="4" t="s">
        <v>147</v>
      </c>
      <c r="F22" s="4" t="s">
        <v>3</v>
      </c>
      <c r="H22" s="4" t="s">
        <v>147</v>
      </c>
      <c r="I22" s="4" t="s">
        <v>3</v>
      </c>
    </row>
    <row r="23" spans="1:9">
      <c r="A23" s="29" t="s">
        <v>163</v>
      </c>
      <c r="B23" s="29" t="s">
        <v>150</v>
      </c>
      <c r="C23" s="27" t="str">
        <f ca="1">VLOOKUP($B23, INDIRECT($A23), 2, FALSE)</f>
        <v>高田 智也</v>
      </c>
      <c r="E23" s="27" t="s">
        <v>150</v>
      </c>
      <c r="F23" s="27" t="s">
        <v>154</v>
      </c>
      <c r="H23" s="27" t="s">
        <v>150</v>
      </c>
      <c r="I23" s="27" t="s">
        <v>159</v>
      </c>
    </row>
    <row r="24" spans="1:9">
      <c r="A24" s="29" t="s">
        <v>163</v>
      </c>
      <c r="B24" s="29" t="s">
        <v>152</v>
      </c>
      <c r="C24" s="27" t="str">
        <f t="shared" ref="C24:C26" ca="1" si="2">VLOOKUP($B24, INDIRECT($A24), 2, FALSE)</f>
        <v>岡島 健介</v>
      </c>
      <c r="E24" s="27" t="s">
        <v>151</v>
      </c>
      <c r="F24" s="27" t="s">
        <v>155</v>
      </c>
      <c r="H24" s="27" t="s">
        <v>151</v>
      </c>
      <c r="I24" s="27" t="s">
        <v>160</v>
      </c>
    </row>
    <row r="25" spans="1:9">
      <c r="A25" s="29" t="s">
        <v>164</v>
      </c>
      <c r="B25" s="29" t="s">
        <v>150</v>
      </c>
      <c r="C25" s="27" t="str">
        <f t="shared" ca="1" si="2"/>
        <v>内山 健二</v>
      </c>
      <c r="E25" s="27" t="s">
        <v>152</v>
      </c>
      <c r="F25" s="27" t="s">
        <v>156</v>
      </c>
      <c r="H25" s="27" t="s">
        <v>152</v>
      </c>
      <c r="I25" s="27" t="s">
        <v>161</v>
      </c>
    </row>
    <row r="26" spans="1:9">
      <c r="A26" s="29" t="s">
        <v>164</v>
      </c>
      <c r="B26" s="29" t="s">
        <v>151</v>
      </c>
      <c r="C26" s="27" t="str">
        <f t="shared" ca="1" si="2"/>
        <v>三田 博文</v>
      </c>
      <c r="E26" s="27" t="s">
        <v>153</v>
      </c>
      <c r="F26" s="27" t="s">
        <v>157</v>
      </c>
      <c r="H26" s="27" t="s">
        <v>153</v>
      </c>
      <c r="I26" s="27" t="s">
        <v>162</v>
      </c>
    </row>
  </sheetData>
  <mergeCells count="2">
    <mergeCell ref="F13:H13"/>
    <mergeCell ref="I13:I14"/>
  </mergeCells>
  <phoneticPr fontId="2"/>
  <dataValidations count="1">
    <dataValidation type="list" allowBlank="1" showInputMessage="1" showErrorMessage="1" sqref="A4:A8" xr:uid="{AEC1511F-D9A2-495B-8CBD-D725DBD1B8A7}">
      <formula1>$G$4:$G$8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C868-9539-421C-A355-A72614953DE8}">
  <dimension ref="A1:H32"/>
  <sheetViews>
    <sheetView showGridLines="0" workbookViewId="0"/>
  </sheetViews>
  <sheetFormatPr defaultRowHeight="18.75"/>
  <cols>
    <col min="2" max="2" width="10.77734375" customWidth="1"/>
    <col min="4" max="5" width="10.77734375" customWidth="1"/>
    <col min="6" max="6" width="10.109375" bestFit="1" customWidth="1"/>
    <col min="8" max="8" width="10.77734375" customWidth="1"/>
  </cols>
  <sheetData>
    <row r="1" spans="1:7">
      <c r="A1" s="8" t="s">
        <v>186</v>
      </c>
    </row>
    <row r="2" spans="1:7">
      <c r="A2" t="s">
        <v>165</v>
      </c>
      <c r="D2" t="s">
        <v>120</v>
      </c>
    </row>
    <row r="3" spans="1:7">
      <c r="A3" s="37" t="s">
        <v>116</v>
      </c>
      <c r="B3" s="29" t="s">
        <v>126</v>
      </c>
      <c r="D3" s="4" t="s">
        <v>115</v>
      </c>
      <c r="E3" s="4" t="s">
        <v>116</v>
      </c>
      <c r="F3" s="4" t="s">
        <v>117</v>
      </c>
    </row>
    <row r="4" spans="1:7">
      <c r="A4" s="37" t="s">
        <v>115</v>
      </c>
      <c r="B4" s="27" t="str">
        <f>INDEX(D4:D7, MATCH(B3,E4:E7, 0))</f>
        <v>K-103</v>
      </c>
      <c r="D4" s="27" t="s">
        <v>121</v>
      </c>
      <c r="E4" s="27" t="s">
        <v>126</v>
      </c>
      <c r="F4" s="5">
        <v>12800</v>
      </c>
    </row>
    <row r="5" spans="1:7">
      <c r="D5" s="27" t="s">
        <v>122</v>
      </c>
      <c r="E5" s="27" t="s">
        <v>127</v>
      </c>
      <c r="F5" s="5">
        <v>14800</v>
      </c>
    </row>
    <row r="6" spans="1:7">
      <c r="D6" s="27" t="s">
        <v>123</v>
      </c>
      <c r="E6" s="27" t="s">
        <v>128</v>
      </c>
      <c r="F6" s="5">
        <v>13000</v>
      </c>
    </row>
    <row r="7" spans="1:7">
      <c r="D7" s="27" t="s">
        <v>124</v>
      </c>
      <c r="E7" s="27" t="s">
        <v>129</v>
      </c>
      <c r="F7" s="5">
        <v>45000</v>
      </c>
    </row>
    <row r="9" spans="1:7">
      <c r="A9" s="8" t="s">
        <v>187</v>
      </c>
    </row>
    <row r="10" spans="1:7">
      <c r="A10" t="s">
        <v>165</v>
      </c>
      <c r="D10" t="s">
        <v>170</v>
      </c>
    </row>
    <row r="11" spans="1:7">
      <c r="A11" s="37" t="s">
        <v>115</v>
      </c>
      <c r="B11" s="29" t="s">
        <v>174</v>
      </c>
      <c r="D11" s="4" t="s">
        <v>115</v>
      </c>
      <c r="E11" s="4" t="s">
        <v>171</v>
      </c>
      <c r="F11" s="4" t="s">
        <v>169</v>
      </c>
      <c r="G11" s="4" t="s">
        <v>173</v>
      </c>
    </row>
    <row r="12" spans="1:7">
      <c r="A12" s="37" t="s">
        <v>166</v>
      </c>
      <c r="B12" s="29" t="s">
        <v>172</v>
      </c>
      <c r="D12" s="27" t="s">
        <v>175</v>
      </c>
      <c r="E12" s="5">
        <v>20000</v>
      </c>
      <c r="F12" s="5">
        <v>20600</v>
      </c>
      <c r="G12" s="5">
        <v>21200</v>
      </c>
    </row>
    <row r="13" spans="1:7">
      <c r="A13" s="37" t="s">
        <v>167</v>
      </c>
      <c r="B13" s="5">
        <f>INDEX(E12:G15, MATCH(B11, D12:D15, 0), MATCH(B12, E11:G11, 0))</f>
        <v>21200</v>
      </c>
      <c r="D13" s="27" t="s">
        <v>176</v>
      </c>
      <c r="E13" s="5">
        <v>18000</v>
      </c>
      <c r="F13" s="5">
        <v>18600</v>
      </c>
      <c r="G13" s="5">
        <v>19200</v>
      </c>
    </row>
    <row r="14" spans="1:7">
      <c r="D14" s="27" t="s">
        <v>168</v>
      </c>
      <c r="E14" s="5">
        <v>16000</v>
      </c>
      <c r="F14" s="5">
        <v>16600</v>
      </c>
      <c r="G14" s="5">
        <v>17200</v>
      </c>
    </row>
    <row r="15" spans="1:7">
      <c r="D15" s="27" t="s">
        <v>177</v>
      </c>
      <c r="E15" s="5">
        <v>12000</v>
      </c>
      <c r="F15" s="5">
        <v>12500</v>
      </c>
      <c r="G15" s="5">
        <v>13000</v>
      </c>
    </row>
    <row r="17" spans="1:8">
      <c r="A17" s="8" t="s">
        <v>188</v>
      </c>
    </row>
    <row r="18" spans="1:8">
      <c r="A18" t="s">
        <v>178</v>
      </c>
      <c r="F18" t="s">
        <v>182</v>
      </c>
    </row>
    <row r="19" spans="1:8">
      <c r="A19" s="37" t="s">
        <v>60</v>
      </c>
      <c r="B19" s="29" t="s">
        <v>179</v>
      </c>
      <c r="F19" s="4" t="s">
        <v>78</v>
      </c>
      <c r="G19" s="4" t="s">
        <v>60</v>
      </c>
      <c r="H19" s="4" t="s">
        <v>181</v>
      </c>
    </row>
    <row r="20" spans="1:8">
      <c r="F20" s="20">
        <v>44206</v>
      </c>
      <c r="G20" s="27" t="s">
        <v>183</v>
      </c>
      <c r="H20" s="27">
        <v>3287000</v>
      </c>
    </row>
    <row r="21" spans="1:8">
      <c r="A21" t="s">
        <v>180</v>
      </c>
      <c r="F21" s="20">
        <v>44206</v>
      </c>
      <c r="G21" s="27" t="s">
        <v>179</v>
      </c>
      <c r="H21" s="27">
        <v>2445000</v>
      </c>
    </row>
    <row r="22" spans="1:8">
      <c r="A22" s="4" t="s">
        <v>68</v>
      </c>
      <c r="B22" s="4" t="s">
        <v>78</v>
      </c>
      <c r="C22" s="4" t="s">
        <v>60</v>
      </c>
      <c r="D22" s="4" t="s">
        <v>181</v>
      </c>
      <c r="F22" s="20">
        <v>44207</v>
      </c>
      <c r="G22" s="27" t="s">
        <v>184</v>
      </c>
      <c r="H22" s="27">
        <v>783000</v>
      </c>
    </row>
    <row r="23" spans="1:8">
      <c r="A23" s="27">
        <v>1</v>
      </c>
      <c r="B23" s="20">
        <f t="array" ref="B23">IFERROR(INDEX(F$20:F$29, SMALL(IF($G$20:$G$29=$B$19, ROW($A$1:$A$10), ""), ROW(A1))), "")</f>
        <v>44206</v>
      </c>
      <c r="C23" s="20" t="str">
        <f t="array" ref="C23">IFERROR(INDEX(G$20:G$29, SMALL(IF($G$20:$G$29=$B$19, ROW($A$1:$A$10), ""), ROW(B1))), "")</f>
        <v>長谷部</v>
      </c>
      <c r="D23" s="38">
        <f t="array" ref="D23">IFERROR(INDEX(H$20:H$29, SMALL(IF($G$20:$G$29=$B$19, ROW($A$1:$A$10), ""), ROW(C1))), "")</f>
        <v>2445000</v>
      </c>
      <c r="F23" s="20">
        <v>44208</v>
      </c>
      <c r="G23" s="27" t="s">
        <v>184</v>
      </c>
      <c r="H23" s="27">
        <v>4618000</v>
      </c>
    </row>
    <row r="24" spans="1:8">
      <c r="A24" s="27">
        <v>2</v>
      </c>
      <c r="B24" s="20">
        <f t="array" ref="B24">IFERROR(INDEX($F$20:$F$29, SMALL(IF($G$20:$G$29=$B$19, ROW($A$1:$A$10), ""), ROW(A2))), "")</f>
        <v>44210</v>
      </c>
      <c r="C24" s="20" t="str">
        <f t="array" ref="C24">IFERROR(INDEX(G$20:G$29, SMALL(IF($G$20:$G$29=$B$19, ROW($A$1:$A$10), ""), ROW(B2))), "")</f>
        <v>長谷部</v>
      </c>
      <c r="D24" s="38">
        <f t="array" ref="D24">IFERROR(INDEX(H$20:H$29, SMALL(IF($G$20:$G$29=$B$19, ROW($A$1:$A$10), ""), ROW(C2))), "")</f>
        <v>800000</v>
      </c>
      <c r="F24" s="20">
        <v>44210</v>
      </c>
      <c r="G24" s="27" t="s">
        <v>179</v>
      </c>
      <c r="H24" s="27">
        <v>800000</v>
      </c>
    </row>
    <row r="25" spans="1:8">
      <c r="A25" s="27">
        <v>3</v>
      </c>
      <c r="B25" s="20">
        <f t="array" ref="B25">IFERROR(INDEX($F$20:$F$29, SMALL(IF($G$20:$G$29=$B$19, ROW($A$1:$A$10), ""), ROW(A3))), "")</f>
        <v>44214</v>
      </c>
      <c r="C25" s="20" t="str">
        <f t="array" ref="C25">IFERROR(INDEX(G$20:G$29, SMALL(IF($G$20:$G$29=$B$19, ROW($A$1:$A$10), ""), ROW(B3))), "")</f>
        <v>長谷部</v>
      </c>
      <c r="D25" s="38">
        <f t="array" ref="D25">IFERROR(INDEX(H$20:H$29, SMALL(IF($G$20:$G$29=$B$19, ROW($A$1:$A$10), ""), ROW(C3))), "")</f>
        <v>2640000</v>
      </c>
      <c r="F25" s="20">
        <v>44211</v>
      </c>
      <c r="G25" s="27" t="s">
        <v>185</v>
      </c>
      <c r="H25" s="27">
        <v>3444000</v>
      </c>
    </row>
    <row r="26" spans="1:8">
      <c r="A26" s="27">
        <v>4</v>
      </c>
      <c r="B26" s="20" t="str">
        <f t="array" ref="B26">IFERROR(INDEX($F$20:$F$29, SMALL(IF($G$20:$G$29=$B$19, ROW($A$1:$A$10), ""), ROW(A4))), "")</f>
        <v/>
      </c>
      <c r="C26" s="20" t="str">
        <f t="array" ref="C26">IFERROR(INDEX(G$20:G$29, SMALL(IF($G$20:$G$29=$B$19, ROW($A$1:$A$10), ""), ROW(B4))), "")</f>
        <v/>
      </c>
      <c r="D26" s="38" t="str">
        <f t="array" ref="D26">IFERROR(INDEX(H$20:H$29, SMALL(IF($G$20:$G$29=$B$19, ROW($A$1:$A$10), ""), ROW(C4))), "")</f>
        <v/>
      </c>
      <c r="F26" s="20">
        <v>44211</v>
      </c>
      <c r="G26" s="27" t="s">
        <v>184</v>
      </c>
      <c r="H26" s="27">
        <v>4903000</v>
      </c>
    </row>
    <row r="27" spans="1:8">
      <c r="A27" s="27">
        <v>5</v>
      </c>
      <c r="B27" s="20" t="str">
        <f t="array" ref="B27">IFERROR(INDEX($F$20:$F$29, SMALL(IF($G$20:$G$29=$B$19, ROW($A$1:$A$10), ""), ROW(A5))), "")</f>
        <v/>
      </c>
      <c r="C27" s="20" t="str">
        <f t="array" ref="C27">IFERROR(INDEX(G$20:G$29, SMALL(IF($G$20:$G$29=$B$19, ROW($A$1:$A$10), ""), ROW(B5))), "")</f>
        <v/>
      </c>
      <c r="D27" s="38" t="str">
        <f t="array" ref="D27">IFERROR(INDEX(H$20:H$29, SMALL(IF($G$20:$G$29=$B$19, ROW($A$1:$A$10), ""), ROW(C5))), "")</f>
        <v/>
      </c>
      <c r="F27" s="20">
        <v>44214</v>
      </c>
      <c r="G27" s="27" t="s">
        <v>179</v>
      </c>
      <c r="H27" s="27">
        <v>2640000</v>
      </c>
    </row>
    <row r="28" spans="1:8">
      <c r="A28" s="27">
        <v>6</v>
      </c>
      <c r="B28" s="20" t="str">
        <f t="array" ref="B28">IFERROR(INDEX($F$20:$F$29, SMALL(IF($G$20:$G$29=$B$19, ROW($A$1:$A$10), ""), ROW(A6))), "")</f>
        <v/>
      </c>
      <c r="C28" s="20" t="str">
        <f t="array" ref="C28">IFERROR(INDEX(G$20:G$29, SMALL(IF($G$20:$G$29=$B$19, ROW($A$1:$A$10), ""), ROW(B6))), "")</f>
        <v/>
      </c>
      <c r="D28" s="38" t="str">
        <f t="array" ref="D28">IFERROR(INDEX(H$20:H$29, SMALL(IF($G$20:$G$29=$B$19, ROW($A$1:$A$10), ""), ROW(C6))), "")</f>
        <v/>
      </c>
      <c r="F28" s="20">
        <v>44216</v>
      </c>
      <c r="G28" s="27" t="s">
        <v>183</v>
      </c>
      <c r="H28" s="27">
        <v>516000</v>
      </c>
    </row>
    <row r="29" spans="1:8">
      <c r="A29" s="27">
        <v>7</v>
      </c>
      <c r="B29" s="20" t="str">
        <f t="array" ref="B29">IFERROR(INDEX($F$20:$F$29, SMALL(IF($G$20:$G$29=$B$19, ROW($A$1:$A$10), ""), ROW(A7))), "")</f>
        <v/>
      </c>
      <c r="C29" s="20" t="str">
        <f t="array" ref="C29">IFERROR(INDEX(G$20:G$29, SMALL(IF($G$20:$G$29=$B$19, ROW($A$1:$A$10), ""), ROW(B7))), "")</f>
        <v/>
      </c>
      <c r="D29" s="38" t="str">
        <f t="array" ref="D29">IFERROR(INDEX(H$20:H$29, SMALL(IF($G$20:$G$29=$B$19, ROW($A$1:$A$10), ""), ROW(C7))), "")</f>
        <v/>
      </c>
      <c r="F29" s="20">
        <v>44217</v>
      </c>
      <c r="G29" s="27" t="s">
        <v>184</v>
      </c>
      <c r="H29" s="27">
        <v>2880000</v>
      </c>
    </row>
    <row r="30" spans="1:8">
      <c r="A30" s="27">
        <v>8</v>
      </c>
      <c r="B30" s="20" t="str">
        <f t="array" ref="B30">IFERROR(INDEX($F$20:$F$29, SMALL(IF($G$20:$G$29=$B$19, ROW($A$1:$A$10), ""), ROW(A8))), "")</f>
        <v/>
      </c>
      <c r="C30" s="20" t="str">
        <f t="array" ref="C30">IFERROR(INDEX(G$20:G$29, SMALL(IF($G$20:$G$29=$B$19, ROW($A$1:$A$10), ""), ROW(B8))), "")</f>
        <v/>
      </c>
      <c r="D30" s="38" t="str">
        <f t="array" ref="D30">IFERROR(INDEX(H$20:H$29, SMALL(IF($G$20:$G$29=$B$19, ROW($A$1:$A$10), ""), ROW(C8))), "")</f>
        <v/>
      </c>
    </row>
    <row r="31" spans="1:8">
      <c r="A31" s="27">
        <v>9</v>
      </c>
      <c r="B31" s="20" t="str">
        <f t="array" ref="B31">IFERROR(INDEX($F$20:$F$29, SMALL(IF($G$20:$G$29=$B$19, ROW($A$1:$A$10), ""), ROW(A9))), "")</f>
        <v/>
      </c>
      <c r="C31" s="20" t="str">
        <f t="array" ref="C31">IFERROR(INDEX(G$20:G$29, SMALL(IF($G$20:$G$29=$B$19, ROW($A$1:$A$10), ""), ROW(B9))), "")</f>
        <v/>
      </c>
      <c r="D31" s="38" t="str">
        <f t="array" ref="D31">IFERROR(INDEX(H$20:H$29, SMALL(IF($G$20:$G$29=$B$19, ROW($A$1:$A$10), ""), ROW(C9))), "")</f>
        <v/>
      </c>
    </row>
    <row r="32" spans="1:8">
      <c r="A32" s="27">
        <v>10</v>
      </c>
      <c r="B32" s="20" t="str">
        <f t="array" ref="B32">IFERROR(INDEX($F$20:$F$29, SMALL(IF($G$20:$G$29=$B$19, ROW($A$1:$A$10), ""), ROW(A10))), "")</f>
        <v/>
      </c>
      <c r="C32" s="20" t="str">
        <f t="array" ref="C32">IFERROR(INDEX(G$20:G$29, SMALL(IF($G$20:$G$29=$B$19, ROW($A$1:$A$10), ""), ROW(B10))), "")</f>
        <v/>
      </c>
      <c r="D32" s="38" t="str">
        <f t="array" ref="D32">IFERROR(INDEX(H$20:H$29, SMALL(IF($G$20:$G$29=$B$19, ROW($A$1:$A$10), ""), ROW(C10))), "")</f>
        <v/>
      </c>
    </row>
  </sheetData>
  <phoneticPr fontId="2"/>
  <dataValidations count="3">
    <dataValidation type="list" allowBlank="1" showInputMessage="1" showErrorMessage="1" sqref="B11" xr:uid="{8CE7CF6E-B36A-4208-BD5F-5833B8BD13F7}">
      <formula1>$D$12:$D$15</formula1>
    </dataValidation>
    <dataValidation type="list" allowBlank="1" showInputMessage="1" showErrorMessage="1" sqref="B12" xr:uid="{63EF7EB8-5A4A-4F12-9B6B-25438306517F}">
      <formula1>$E$11:$G$11</formula1>
    </dataValidation>
    <dataValidation type="list" allowBlank="1" showInputMessage="1" showErrorMessage="1" sqref="B3" xr:uid="{F44DCD02-6B65-4D6D-856D-DC6B4E62D65B}">
      <formula1>$E$4:$E$7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0DB6-92B0-4C3F-BAE1-363C23859798}">
  <dimension ref="A1:L15"/>
  <sheetViews>
    <sheetView showGridLines="0" tabSelected="1" workbookViewId="0"/>
  </sheetViews>
  <sheetFormatPr defaultRowHeight="18.75"/>
  <cols>
    <col min="5" max="5" width="10.77734375" customWidth="1"/>
    <col min="7" max="7" width="10.77734375" customWidth="1"/>
    <col min="10" max="10" width="16.6640625" customWidth="1"/>
    <col min="11" max="11" width="11.21875" bestFit="1" customWidth="1"/>
    <col min="12" max="12" width="10.77734375" customWidth="1"/>
  </cols>
  <sheetData>
    <row r="1" spans="1:12">
      <c r="A1" s="8" t="s">
        <v>189</v>
      </c>
    </row>
    <row r="2" spans="1:12">
      <c r="A2" s="49" t="s">
        <v>190</v>
      </c>
      <c r="B2" s="43"/>
      <c r="C2" s="43"/>
      <c r="D2" s="50" t="s">
        <v>191</v>
      </c>
      <c r="E2" s="50" t="s">
        <v>192</v>
      </c>
      <c r="G2" s="4" t="s">
        <v>46</v>
      </c>
      <c r="H2" s="4" t="s">
        <v>193</v>
      </c>
      <c r="I2" s="4" t="s">
        <v>70</v>
      </c>
      <c r="J2" s="4" t="s">
        <v>26</v>
      </c>
      <c r="K2" s="4" t="s">
        <v>195</v>
      </c>
      <c r="L2" s="4" t="s">
        <v>194</v>
      </c>
    </row>
    <row r="3" spans="1:12">
      <c r="A3" s="51" t="s">
        <v>210</v>
      </c>
      <c r="B3" s="35" t="s">
        <v>200</v>
      </c>
      <c r="C3" s="52" t="s">
        <v>211</v>
      </c>
      <c r="D3" s="28">
        <f>COUNTIF($H$3:$H$10, B3)</f>
        <v>3</v>
      </c>
      <c r="E3" s="5">
        <f>SUMIF($H$3:$H$10, B3, $L$3:$L$10)</f>
        <v>180000</v>
      </c>
      <c r="G3" s="28" t="s">
        <v>5</v>
      </c>
      <c r="H3" s="28" t="s">
        <v>200</v>
      </c>
      <c r="I3" s="28">
        <v>34</v>
      </c>
      <c r="J3" s="28" t="s">
        <v>202</v>
      </c>
      <c r="K3" s="48">
        <v>44451</v>
      </c>
      <c r="L3" s="5">
        <v>50000</v>
      </c>
    </row>
    <row r="4" spans="1:12">
      <c r="A4" s="51" t="s">
        <v>210</v>
      </c>
      <c r="B4" s="35" t="s">
        <v>201</v>
      </c>
      <c r="C4" s="52" t="s">
        <v>216</v>
      </c>
      <c r="D4" s="28">
        <f>COUNTIF($H$3:$H$10, "&lt;&gt;"&amp;B4)</f>
        <v>3</v>
      </c>
      <c r="E4" s="5">
        <f>SUMIF($H$3:$H$10, "&lt;&gt;"&amp;B4, $L$3:$L$10)</f>
        <v>180000</v>
      </c>
      <c r="G4" s="28" t="s">
        <v>6</v>
      </c>
      <c r="H4" s="28" t="s">
        <v>201</v>
      </c>
      <c r="I4" s="28">
        <v>40</v>
      </c>
      <c r="J4" s="28" t="s">
        <v>203</v>
      </c>
      <c r="K4" s="48">
        <v>44412</v>
      </c>
      <c r="L4" s="5">
        <v>260000</v>
      </c>
    </row>
    <row r="5" spans="1:12">
      <c r="A5" s="51" t="s">
        <v>212</v>
      </c>
      <c r="B5" s="53">
        <v>40</v>
      </c>
      <c r="C5" s="52" t="s">
        <v>213</v>
      </c>
      <c r="D5" s="28">
        <f>COUNTIF($I$3:$I$10, "&gt;="&amp;B5)</f>
        <v>4</v>
      </c>
      <c r="E5" s="5">
        <f>SUMIF($I$3:$I$10, "&gt;="&amp;B5, $L$3:$L$10)</f>
        <v>780000</v>
      </c>
      <c r="G5" s="28" t="s">
        <v>7</v>
      </c>
      <c r="H5" s="28" t="s">
        <v>200</v>
      </c>
      <c r="I5" s="28">
        <v>25</v>
      </c>
      <c r="J5" s="28" t="s">
        <v>204</v>
      </c>
      <c r="K5" s="48">
        <v>44440</v>
      </c>
      <c r="L5" s="5">
        <v>30000</v>
      </c>
    </row>
    <row r="6" spans="1:12">
      <c r="A6" s="51" t="s">
        <v>214</v>
      </c>
      <c r="B6" s="35" t="s">
        <v>49</v>
      </c>
      <c r="C6" s="52" t="s">
        <v>215</v>
      </c>
      <c r="D6" s="28">
        <f>COUNTIF($J$3:$J$10, B6 &amp; "*")</f>
        <v>4</v>
      </c>
      <c r="E6" s="5">
        <f>SUMIF($J$3:$J$10, B6 &amp; "*", $L$3:$L$10)</f>
        <v>440000</v>
      </c>
      <c r="G6" s="28" t="s">
        <v>8</v>
      </c>
      <c r="H6" s="28" t="s">
        <v>201</v>
      </c>
      <c r="I6" s="28">
        <v>44</v>
      </c>
      <c r="J6" s="28" t="s">
        <v>205</v>
      </c>
      <c r="K6" s="48">
        <v>44187</v>
      </c>
      <c r="L6" s="5">
        <v>160000</v>
      </c>
    </row>
    <row r="7" spans="1:12">
      <c r="A7" s="51" t="s">
        <v>217</v>
      </c>
      <c r="B7" s="54">
        <v>2020</v>
      </c>
      <c r="C7" s="52" t="s">
        <v>218</v>
      </c>
      <c r="D7" s="28">
        <f t="array" ref="D7">SUM(IF(YEAR($K$3:$K$10)=B7, 1, 0))</f>
        <v>3</v>
      </c>
      <c r="E7" s="5">
        <f t="array" ref="E7">SUM(IF(YEAR($K$3:$K$10)=B7, $L$3:$L$10))</f>
        <v>380000</v>
      </c>
      <c r="G7" s="28" t="s">
        <v>196</v>
      </c>
      <c r="H7" s="28" t="s">
        <v>201</v>
      </c>
      <c r="I7" s="28">
        <v>45</v>
      </c>
      <c r="J7" s="28" t="s">
        <v>206</v>
      </c>
      <c r="K7" s="48">
        <v>44153</v>
      </c>
      <c r="L7" s="5">
        <v>140000</v>
      </c>
    </row>
    <row r="8" spans="1:12">
      <c r="A8" s="51" t="s">
        <v>217</v>
      </c>
      <c r="B8" s="35">
        <v>9</v>
      </c>
      <c r="C8" s="52" t="s">
        <v>86</v>
      </c>
      <c r="D8" s="28">
        <f t="array" ref="D8">SUM(IF(MONTH($K$3:$K$10)=B8, 1, 0))</f>
        <v>3</v>
      </c>
      <c r="E8" s="5">
        <f t="array" ref="E8">SUM(IF(MONTH($K$3:$K$10)=B8, $L$3:$L$10))</f>
        <v>180000</v>
      </c>
      <c r="G8" s="28" t="s">
        <v>197</v>
      </c>
      <c r="H8" s="28" t="s">
        <v>200</v>
      </c>
      <c r="I8" s="28">
        <v>28</v>
      </c>
      <c r="J8" s="28" t="s">
        <v>207</v>
      </c>
      <c r="K8" s="48">
        <v>44445</v>
      </c>
      <c r="L8" s="5">
        <v>100000</v>
      </c>
    </row>
    <row r="9" spans="1:12">
      <c r="E9" s="3"/>
      <c r="G9" s="28" t="s">
        <v>198</v>
      </c>
      <c r="H9" s="28" t="s">
        <v>201</v>
      </c>
      <c r="I9" s="28">
        <v>31</v>
      </c>
      <c r="J9" s="28" t="s">
        <v>208</v>
      </c>
      <c r="K9" s="48">
        <v>44171</v>
      </c>
      <c r="L9" s="5">
        <v>80000</v>
      </c>
    </row>
    <row r="10" spans="1:12">
      <c r="E10" s="3"/>
      <c r="G10" s="28" t="s">
        <v>199</v>
      </c>
      <c r="H10" s="28" t="s">
        <v>201</v>
      </c>
      <c r="I10" s="28">
        <v>52</v>
      </c>
      <c r="J10" s="28" t="s">
        <v>209</v>
      </c>
      <c r="K10" s="48">
        <v>44433</v>
      </c>
      <c r="L10" s="5">
        <v>220000</v>
      </c>
    </row>
    <row r="12" spans="1:12">
      <c r="A12" s="8" t="s">
        <v>219</v>
      </c>
    </row>
    <row r="13" spans="1:12">
      <c r="A13" s="49" t="s">
        <v>190</v>
      </c>
      <c r="B13" s="49"/>
      <c r="C13" s="49"/>
      <c r="D13" s="49"/>
      <c r="E13" s="49"/>
      <c r="F13" s="50" t="s">
        <v>191</v>
      </c>
      <c r="G13" s="50" t="s">
        <v>192</v>
      </c>
    </row>
    <row r="14" spans="1:12">
      <c r="A14" s="55" t="s">
        <v>220</v>
      </c>
      <c r="B14" s="55"/>
      <c r="C14" s="55"/>
      <c r="D14" s="55"/>
      <c r="E14" s="55"/>
      <c r="F14" s="28">
        <f>COUNTIFS($I$3:$I$10, "&gt;=30", $J$3:$J$10, "東京都*")</f>
        <v>3</v>
      </c>
      <c r="G14" s="28">
        <f>SUMIFS($L$3:$L$10, $I$3:$I$10, "&gt;=30", $J$3:$J$10, "東京都*")</f>
        <v>410000</v>
      </c>
    </row>
    <row r="15" spans="1:12">
      <c r="A15" s="55" t="s">
        <v>221</v>
      </c>
      <c r="B15" s="55"/>
      <c r="C15" s="55"/>
      <c r="D15" s="55"/>
      <c r="E15" s="55"/>
      <c r="F15" s="28">
        <f t="array" ref="F15">SUM(IF(($I$3:$I$10&gt;=30) * (COUNTIF($J$3:$J$10, "東京都*")+($H$3:$H$10="男")),1,0))</f>
        <v>6</v>
      </c>
      <c r="G15" s="28">
        <f t="array" ref="G15">SUM(IF(($I$3:$I$10&gt;=30) * (COUNTIF($J$3:$J$10, "東京都*")+($H$3:$H$10="男")),$L$3:$L$10,0))</f>
        <v>910000</v>
      </c>
    </row>
  </sheetData>
  <mergeCells count="4">
    <mergeCell ref="A2:C2"/>
    <mergeCell ref="A13:E13"/>
    <mergeCell ref="A14:E14"/>
    <mergeCell ref="A15:E15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テーブルの構造化参照</vt:lpstr>
      <vt:lpstr>比較</vt:lpstr>
      <vt:lpstr>配列数式の条件式</vt:lpstr>
      <vt:lpstr>日付時刻の計算</vt:lpstr>
      <vt:lpstr>文字列と文字種の操作</vt:lpstr>
      <vt:lpstr>データ検索(VLOOKUP)</vt:lpstr>
      <vt:lpstr>データ検索(INDEX)</vt:lpstr>
      <vt:lpstr>条件付きデータ集計</vt:lpstr>
      <vt:lpstr>商品リスト</vt:lpstr>
      <vt:lpstr>南支店</vt:lpstr>
      <vt:lpstr>北支店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2021-09-12T03:10:40Z</dcterms:modified>
</cp:coreProperties>
</file>