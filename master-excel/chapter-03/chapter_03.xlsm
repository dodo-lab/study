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Home\program\study\master-excel\chapter-03\"/>
    </mc:Choice>
  </mc:AlternateContent>
  <xr:revisionPtr revIDLastSave="0" documentId="13_ncr:1_{46328CAA-F7D2-4324-A288-04655F805B62}" xr6:coauthVersionLast="47" xr6:coauthVersionMax="47" xr10:uidLastSave="{00000000-0000-0000-0000-000000000000}"/>
  <bookViews>
    <workbookView xWindow="-120" yWindow="-120" windowWidth="29040" windowHeight="15840" xr2:uid="{D174609C-65B8-411A-8733-FF31F22A3DDC}"/>
  </bookViews>
  <sheets>
    <sheet name="テーブルの構造化参照" sheetId="2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" i="2" l="1"/>
  <c r="G2" i="2"/>
  <c r="G1" i="2"/>
  <c r="C6" i="2"/>
  <c r="D2" i="2"/>
  <c r="D3" i="2"/>
  <c r="D4" i="2"/>
  <c r="D5" i="2"/>
</calcChain>
</file>

<file path=xl/sharedStrings.xml><?xml version="1.0" encoding="utf-8"?>
<sst xmlns="http://schemas.openxmlformats.org/spreadsheetml/2006/main" count="13" uniqueCount="13">
  <si>
    <t>ID</t>
  </si>
  <si>
    <t>売上</t>
  </si>
  <si>
    <t>社員名</t>
  </si>
  <si>
    <t>社員名</t>
    <rPh sb="0" eb="2">
      <t>シャイン</t>
    </rPh>
    <rPh sb="2" eb="3">
      <t>メイ</t>
    </rPh>
    <phoneticPr fontId="2"/>
  </si>
  <si>
    <t>集計</t>
  </si>
  <si>
    <t>小林　有紀</t>
  </si>
  <si>
    <t>大塚　隆</t>
  </si>
  <si>
    <t>杉原　塔子</t>
  </si>
  <si>
    <t>石田　達也</t>
  </si>
  <si>
    <t>順位</t>
    <rPh sb="0" eb="2">
      <t>ジュンイ</t>
    </rPh>
    <phoneticPr fontId="2"/>
  </si>
  <si>
    <t>最高売上</t>
    <rPh sb="0" eb="2">
      <t>サイコウ</t>
    </rPh>
    <rPh sb="2" eb="4">
      <t>ウリアゲ</t>
    </rPh>
    <phoneticPr fontId="2"/>
  </si>
  <si>
    <t>合計売上</t>
    <rPh sb="0" eb="2">
      <t>ゴウケイ</t>
    </rPh>
    <rPh sb="2" eb="4">
      <t>ウリアゲ</t>
    </rPh>
    <phoneticPr fontId="2"/>
  </si>
  <si>
    <t>IDで社員検索</t>
    <rPh sb="3" eb="5">
      <t>シャイン</t>
    </rPh>
    <rPh sb="5" eb="7">
      <t>ケンサク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</si>
</sst>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9" formatCode="#,##0_ "/>
  </numFmts>
  <fonts count="4" x14ac:knownFonts="1">
    <font>
      <sz val="11"/>
      <color theme="1"/>
      <name val="メイリオ"/>
      <family val="2"/>
      <charset val="128"/>
    </font>
    <font>
      <sz val="11"/>
      <color theme="0"/>
      <name val="メイリオ"/>
      <family val="2"/>
      <charset val="128"/>
    </font>
    <font>
      <sz val="6"/>
      <name val="メイリオ"/>
      <family val="2"/>
      <charset val="128"/>
    </font>
    <font>
      <sz val="11"/>
      <color theme="0"/>
      <name val="メイリオ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79" fontId="0" fillId="0" borderId="0" xfId="0" applyNumberFormat="1">
      <alignment vertical="center"/>
    </xf>
    <xf numFmtId="0" fontId="1" fillId="2" borderId="1" xfId="0" applyFont="1" applyFill="1" applyBorder="1" applyAlignment="1">
      <alignment horizontal="center" vertical="center"/>
    </xf>
    <xf numFmtId="179" fontId="0" fillId="0" borderId="1" xfId="0" applyNumberFormat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1" xfId="0" applyBorder="1">
      <alignment vertical="center"/>
    </xf>
  </cellXfs>
  <cellStyles count="1">
    <cellStyle name="標準" xfId="0" builtinId="0"/>
  </cellStyles>
  <dxfs count="4">
    <dxf>
      <numFmt numFmtId="179" formatCode="#,##0_ 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D8BE035-1436-458B-8C65-FE73E30FE556}" name="社員テーブル" displayName="社員テーブル" ref="A1:D6" totalsRowCount="1">
  <autoFilter ref="A1:D5" xr:uid="{FD8BE035-1436-458B-8C65-FE73E30FE556}"/>
  <tableColumns count="4">
    <tableColumn id="4" xr3:uid="{3149F575-7730-4BA9-9995-6C6F2AF86FF8}" name="ID" totalsRowLabel="集計" dataDxfId="3"/>
    <tableColumn id="2" xr3:uid="{B6E89241-A0D8-464F-BEAB-5C8358ADDC59}" name="社員名" dataDxfId="2"/>
    <tableColumn id="3" xr3:uid="{A56C955A-FCD8-41D2-8CDB-751492459235}" name="売上" totalsRowFunction="sum" dataDxfId="0"/>
    <tableColumn id="10" xr3:uid="{E4FC247E-C4EF-440C-8876-54C72CD10C94}" name="順位" dataDxfId="1">
      <calculatedColumnFormula>_xlfn.RANK.EQ(社員テーブル[[#This Row],[売上]], 社員テーブル[売上])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79D712-950C-46D8-870E-71A7F4BA306A}">
  <dimension ref="A1:G6"/>
  <sheetViews>
    <sheetView showGridLines="0" tabSelected="1" workbookViewId="0">
      <selection activeCell="B9" sqref="B9"/>
    </sheetView>
  </sheetViews>
  <sheetFormatPr defaultRowHeight="18.75" x14ac:dyDescent="0.45"/>
  <cols>
    <col min="1" max="1" width="7.77734375" customWidth="1"/>
    <col min="2" max="2" width="18.77734375" customWidth="1"/>
    <col min="3" max="3" width="11" customWidth="1"/>
    <col min="5" max="5" width="3.44140625" customWidth="1"/>
    <col min="6" max="6" width="17.77734375" customWidth="1"/>
    <col min="7" max="7" width="11.44140625" customWidth="1"/>
  </cols>
  <sheetData>
    <row r="1" spans="1:7" x14ac:dyDescent="0.45">
      <c r="A1" s="1" t="s">
        <v>0</v>
      </c>
      <c r="B1" s="1" t="s">
        <v>2</v>
      </c>
      <c r="C1" s="1" t="s">
        <v>1</v>
      </c>
      <c r="D1" t="s">
        <v>9</v>
      </c>
      <c r="F1" s="4" t="s">
        <v>10</v>
      </c>
      <c r="G1" s="5">
        <f>MAX(社員テーブル[売上])</f>
        <v>2000</v>
      </c>
    </row>
    <row r="2" spans="1:7" x14ac:dyDescent="0.45">
      <c r="A2" s="1">
        <v>1</v>
      </c>
      <c r="B2" s="1" t="s">
        <v>5</v>
      </c>
      <c r="C2" s="3">
        <v>1500</v>
      </c>
      <c r="D2" s="1">
        <f>_xlfn.RANK.EQ(社員テーブル[[#This Row],[売上]], 社員テーブル[売上])</f>
        <v>2</v>
      </c>
      <c r="F2" s="6" t="s">
        <v>11</v>
      </c>
      <c r="G2" s="5">
        <f>社員テーブル[[#Totals], [売上]]</f>
        <v>5000</v>
      </c>
    </row>
    <row r="3" spans="1:7" x14ac:dyDescent="0.45">
      <c r="A3" s="1">
        <v>2</v>
      </c>
      <c r="B3" s="1" t="s">
        <v>6</v>
      </c>
      <c r="C3" s="3">
        <v>500</v>
      </c>
      <c r="D3" s="1">
        <f>_xlfn.RANK.EQ(社員テーブル[[#This Row],[売上]], 社員テーブル[売上])</f>
        <v>4</v>
      </c>
      <c r="F3" s="2"/>
    </row>
    <row r="4" spans="1:7" x14ac:dyDescent="0.45">
      <c r="A4" s="1">
        <v>3</v>
      </c>
      <c r="B4" s="1" t="s">
        <v>7</v>
      </c>
      <c r="C4" s="3">
        <v>2000</v>
      </c>
      <c r="D4" s="1">
        <f>_xlfn.RANK.EQ(社員テーブル[[#This Row],[売上]], 社員テーブル[売上])</f>
        <v>1</v>
      </c>
      <c r="F4" s="6" t="s">
        <v>12</v>
      </c>
      <c r="G4" s="7">
        <v>2</v>
      </c>
    </row>
    <row r="5" spans="1:7" x14ac:dyDescent="0.45">
      <c r="A5" s="1">
        <v>4</v>
      </c>
      <c r="B5" s="1" t="s">
        <v>8</v>
      </c>
      <c r="C5" s="3">
        <v>1000</v>
      </c>
      <c r="D5" s="1">
        <f>_xlfn.RANK.EQ(社員テーブル[[#This Row],[売上]], 社員テーブル[売上])</f>
        <v>3</v>
      </c>
      <c r="F5" s="6" t="s">
        <v>3</v>
      </c>
      <c r="G5" s="7" t="str">
        <f>VLOOKUP(G4, 社員テーブル[], 2, FALSE)</f>
        <v>大塚　隆</v>
      </c>
    </row>
    <row r="6" spans="1:7" x14ac:dyDescent="0.45">
      <c r="A6" t="s">
        <v>4</v>
      </c>
      <c r="C6" s="3">
        <f>SUBTOTAL(109,社員テーブル[売上])</f>
        <v>5000</v>
      </c>
    </row>
  </sheetData>
  <phoneticPr fontId="2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2393194-9D04-4626-A0AB-B03AF716600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テーブルの構造化参照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進藤渉</dc:creator>
  <cp:lastModifiedBy>進藤渉</cp:lastModifiedBy>
  <dcterms:created xsi:type="dcterms:W3CDTF">2021-09-10T13:02:44Z</dcterms:created>
  <dcterms:modified xsi:type="dcterms:W3CDTF">2021-09-10T13:38:14Z</dcterms:modified>
</cp:coreProperties>
</file>