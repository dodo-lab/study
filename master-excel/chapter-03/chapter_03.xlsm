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3\"/>
    </mc:Choice>
  </mc:AlternateContent>
  <xr:revisionPtr revIDLastSave="0" documentId="13_ncr:1_{4DC94683-549E-442B-B70E-7A318A608C93}" xr6:coauthVersionLast="47" xr6:coauthVersionMax="47" xr10:uidLastSave="{00000000-0000-0000-0000-000000000000}"/>
  <bookViews>
    <workbookView xWindow="-120" yWindow="-120" windowWidth="29040" windowHeight="15840" activeTab="1" xr2:uid="{D174609C-65B8-411A-8733-FF31F22A3DDC}"/>
  </bookViews>
  <sheets>
    <sheet name="テーブルの構造化参照" sheetId="2" r:id="rId1"/>
    <sheet name="比較" sheetId="3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3" l="1"/>
  <c r="C17" i="3"/>
  <c r="C16" i="3"/>
  <c r="C15" i="3"/>
  <c r="K10" i="3"/>
  <c r="K9" i="3"/>
  <c r="K8" i="3"/>
  <c r="K7" i="3"/>
  <c r="G10" i="3"/>
  <c r="G9" i="3"/>
  <c r="G8" i="3"/>
  <c r="G7" i="3"/>
  <c r="C10" i="3"/>
  <c r="C9" i="3"/>
  <c r="C8" i="3"/>
  <c r="C7" i="3"/>
  <c r="B2" i="3"/>
  <c r="G5" i="2"/>
  <c r="G2" i="2"/>
  <c r="G1" i="2"/>
  <c r="C6" i="2"/>
  <c r="D2" i="2"/>
  <c r="D3" i="2"/>
  <c r="D4" i="2"/>
  <c r="D5" i="2"/>
</calcChain>
</file>

<file path=xl/sharedStrings.xml><?xml version="1.0" encoding="utf-8"?>
<sst xmlns="http://schemas.openxmlformats.org/spreadsheetml/2006/main" count="57" uniqueCount="32">
  <si>
    <t>ID</t>
  </si>
  <si>
    <t>売上</t>
  </si>
  <si>
    <t>社員名</t>
  </si>
  <si>
    <t>社員名</t>
    <rPh sb="0" eb="2">
      <t>シャイン</t>
    </rPh>
    <rPh sb="2" eb="3">
      <t>メイ</t>
    </rPh>
    <phoneticPr fontId="2"/>
  </si>
  <si>
    <t>集計</t>
  </si>
  <si>
    <t>小林　有紀</t>
  </si>
  <si>
    <t>大塚　隆</t>
  </si>
  <si>
    <t>杉原　塔子</t>
  </si>
  <si>
    <t>石田　達也</t>
  </si>
  <si>
    <t>順位</t>
    <rPh sb="0" eb="2">
      <t>ジュンイ</t>
    </rPh>
    <phoneticPr fontId="2"/>
  </si>
  <si>
    <t>最高売上</t>
    <rPh sb="0" eb="2">
      <t>サイコウ</t>
    </rPh>
    <rPh sb="2" eb="4">
      <t>ウリアゲ</t>
    </rPh>
    <phoneticPr fontId="2"/>
  </si>
  <si>
    <t>合計売上</t>
    <rPh sb="0" eb="2">
      <t>ゴウケイ</t>
    </rPh>
    <rPh sb="2" eb="4">
      <t>ウリアゲ</t>
    </rPh>
    <phoneticPr fontId="2"/>
  </si>
  <si>
    <t>IDで社員検索</t>
    <rPh sb="3" eb="5">
      <t>シャイン</t>
    </rPh>
    <rPh sb="5" eb="7">
      <t>ケンサク</t>
    </rPh>
    <phoneticPr fontId="2"/>
  </si>
  <si>
    <t>日付の比較</t>
    <rPh sb="0" eb="2">
      <t>ヒヅケ</t>
    </rPh>
    <rPh sb="3" eb="5">
      <t>ヒカク</t>
    </rPh>
    <phoneticPr fontId="2"/>
  </si>
  <si>
    <t>文字列１</t>
    <rPh sb="0" eb="3">
      <t>モジレツ</t>
    </rPh>
    <phoneticPr fontId="2"/>
  </si>
  <si>
    <t>文字列２</t>
    <rPh sb="0" eb="3">
      <t>モジレツ</t>
    </rPh>
    <phoneticPr fontId="2"/>
  </si>
  <si>
    <t>判定</t>
    <rPh sb="0" eb="2">
      <t>ハンテイ</t>
    </rPh>
    <phoneticPr fontId="2"/>
  </si>
  <si>
    <t>EXCEL</t>
    <phoneticPr fontId="2"/>
  </si>
  <si>
    <t>excel</t>
    <phoneticPr fontId="2"/>
  </si>
  <si>
    <t>ＥＸＣＥＬ</t>
    <phoneticPr fontId="2"/>
  </si>
  <si>
    <t>エクセル</t>
    <phoneticPr fontId="2"/>
  </si>
  <si>
    <t>ｴｸｾﾙ</t>
    <phoneticPr fontId="2"/>
  </si>
  <si>
    <t>えくせる</t>
    <phoneticPr fontId="2"/>
  </si>
  <si>
    <t>異なる文字種の比較（=）</t>
    <rPh sb="0" eb="1">
      <t>コト</t>
    </rPh>
    <rPh sb="3" eb="6">
      <t>モジシュ</t>
    </rPh>
    <rPh sb="7" eb="9">
      <t>ヒカク</t>
    </rPh>
    <phoneticPr fontId="2"/>
  </si>
  <si>
    <t>異なる文字種の比較（EXACT）</t>
    <rPh sb="7" eb="9">
      <t>ヒカク</t>
    </rPh>
    <phoneticPr fontId="2"/>
  </si>
  <si>
    <t>異なる文字種の比較（JIS）</t>
    <rPh sb="7" eb="9">
      <t>ヒカク</t>
    </rPh>
    <phoneticPr fontId="2"/>
  </si>
  <si>
    <t>住所</t>
    <rPh sb="0" eb="2">
      <t>ジュウショ</t>
    </rPh>
    <phoneticPr fontId="2"/>
  </si>
  <si>
    <t>東京都渋谷区恵比寿</t>
    <rPh sb="0" eb="3">
      <t>トウキョウト</t>
    </rPh>
    <rPh sb="3" eb="6">
      <t>シブヤク</t>
    </rPh>
    <rPh sb="6" eb="9">
      <t>エビス</t>
    </rPh>
    <phoneticPr fontId="2"/>
  </si>
  <si>
    <t>ワイルドカードを使った比較（"東京都*区*"）</t>
    <rPh sb="8" eb="9">
      <t>ツカ</t>
    </rPh>
    <rPh sb="11" eb="13">
      <t>ヒカク</t>
    </rPh>
    <rPh sb="15" eb="17">
      <t>トウキョウ</t>
    </rPh>
    <rPh sb="17" eb="18">
      <t>ト</t>
    </rPh>
    <rPh sb="19" eb="20">
      <t>ク</t>
    </rPh>
    <phoneticPr fontId="2"/>
  </si>
  <si>
    <t>千葉県柏市柏</t>
    <rPh sb="0" eb="3">
      <t>チバケン</t>
    </rPh>
    <rPh sb="3" eb="5">
      <t>カシワシ</t>
    </rPh>
    <rPh sb="5" eb="6">
      <t>カシワ</t>
    </rPh>
    <phoneticPr fontId="2"/>
  </si>
  <si>
    <t>東京都港区芝浦</t>
    <rPh sb="0" eb="3">
      <t>トウキョウト</t>
    </rPh>
    <rPh sb="3" eb="5">
      <t>ミナトク</t>
    </rPh>
    <rPh sb="5" eb="7">
      <t>シバウラ</t>
    </rPh>
    <phoneticPr fontId="2"/>
  </si>
  <si>
    <t>東京都調布市多摩川</t>
    <rPh sb="0" eb="3">
      <t>トウキョウト</t>
    </rPh>
    <rPh sb="3" eb="6">
      <t>チョウフシ</t>
    </rPh>
    <rPh sb="6" eb="9">
      <t>タマガワ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</si>
</sst>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5" x14ac:knownFonts="1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</cellXfs>
  <cellStyles count="1">
    <cellStyle name="標準" xfId="0" builtinId="0"/>
  </cellStyles>
  <dxfs count="4">
    <dxf>
      <numFmt numFmtId="0" formatCode="General"/>
    </dxf>
    <dxf>
      <numFmt numFmtId="176" formatCode="#,##0_ 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8BE035-1436-458B-8C65-FE73E30FE556}" name="社員テーブル" displayName="社員テーブル" ref="A1:D6" totalsRowCount="1">
  <autoFilter ref="A1:D5" xr:uid="{FD8BE035-1436-458B-8C65-FE73E30FE556}"/>
  <tableColumns count="4">
    <tableColumn id="4" xr3:uid="{3149F575-7730-4BA9-9995-6C6F2AF86FF8}" name="ID" totalsRowLabel="集計" dataDxfId="3"/>
    <tableColumn id="2" xr3:uid="{B6E89241-A0D8-464F-BEAB-5C8358ADDC59}" name="社員名" dataDxfId="2"/>
    <tableColumn id="3" xr3:uid="{A56C955A-FCD8-41D2-8CDB-751492459235}" name="売上" totalsRowFunction="sum" dataDxfId="1"/>
    <tableColumn id="10" xr3:uid="{E4FC247E-C4EF-440C-8876-54C72CD10C94}" name="順位" dataDxfId="0">
      <calculatedColumnFormula>_xlfn.RANK.EQ(社員テーブル[[#This Row],[売上]], 社員テーブル[売上])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D712-950C-46D8-870E-71A7F4BA306A}">
  <dimension ref="A1:G6"/>
  <sheetViews>
    <sheetView showGridLines="0" workbookViewId="0">
      <selection activeCell="B9" sqref="B9"/>
    </sheetView>
  </sheetViews>
  <sheetFormatPr defaultRowHeight="18.75" x14ac:dyDescent="0.45"/>
  <cols>
    <col min="1" max="1" width="7.77734375" customWidth="1"/>
    <col min="2" max="2" width="18.77734375" customWidth="1"/>
    <col min="3" max="3" width="11" customWidth="1"/>
    <col min="5" max="5" width="3.44140625" customWidth="1"/>
    <col min="6" max="6" width="17.77734375" customWidth="1"/>
    <col min="7" max="7" width="11.44140625" customWidth="1"/>
  </cols>
  <sheetData>
    <row r="1" spans="1:7" x14ac:dyDescent="0.45">
      <c r="A1" s="1" t="s">
        <v>0</v>
      </c>
      <c r="B1" s="1" t="s">
        <v>2</v>
      </c>
      <c r="C1" s="1" t="s">
        <v>1</v>
      </c>
      <c r="D1" t="s">
        <v>9</v>
      </c>
      <c r="F1" s="4" t="s">
        <v>10</v>
      </c>
      <c r="G1" s="5">
        <f>MAX(社員テーブル[売上])</f>
        <v>2000</v>
      </c>
    </row>
    <row r="2" spans="1:7" x14ac:dyDescent="0.45">
      <c r="A2" s="1">
        <v>1</v>
      </c>
      <c r="B2" s="1" t="s">
        <v>5</v>
      </c>
      <c r="C2" s="3">
        <v>1500</v>
      </c>
      <c r="D2" s="1">
        <f>_xlfn.RANK.EQ(社員テーブル[[#This Row],[売上]], 社員テーブル[売上])</f>
        <v>2</v>
      </c>
      <c r="F2" s="6" t="s">
        <v>11</v>
      </c>
      <c r="G2" s="5">
        <f>社員テーブル[[#Totals], [売上]]</f>
        <v>5000</v>
      </c>
    </row>
    <row r="3" spans="1:7" x14ac:dyDescent="0.45">
      <c r="A3" s="1">
        <v>2</v>
      </c>
      <c r="B3" s="1" t="s">
        <v>6</v>
      </c>
      <c r="C3" s="3">
        <v>500</v>
      </c>
      <c r="D3" s="1">
        <f>_xlfn.RANK.EQ(社員テーブル[[#This Row],[売上]], 社員テーブル[売上])</f>
        <v>4</v>
      </c>
      <c r="F3" s="2"/>
    </row>
    <row r="4" spans="1:7" x14ac:dyDescent="0.45">
      <c r="A4" s="1">
        <v>3</v>
      </c>
      <c r="B4" s="1" t="s">
        <v>7</v>
      </c>
      <c r="C4" s="3">
        <v>2000</v>
      </c>
      <c r="D4" s="1">
        <f>_xlfn.RANK.EQ(社員テーブル[[#This Row],[売上]], 社員テーブル[売上])</f>
        <v>1</v>
      </c>
      <c r="F4" s="6" t="s">
        <v>12</v>
      </c>
      <c r="G4" s="7">
        <v>2</v>
      </c>
    </row>
    <row r="5" spans="1:7" x14ac:dyDescent="0.45">
      <c r="A5" s="1">
        <v>4</v>
      </c>
      <c r="B5" s="1" t="s">
        <v>8</v>
      </c>
      <c r="C5" s="3">
        <v>1000</v>
      </c>
      <c r="D5" s="1">
        <f>_xlfn.RANK.EQ(社員テーブル[[#This Row],[売上]], 社員テーブル[売上])</f>
        <v>3</v>
      </c>
      <c r="F5" s="6" t="s">
        <v>3</v>
      </c>
      <c r="G5" s="7" t="str">
        <f>VLOOKUP(G4, 社員テーブル[], 2, FALSE)</f>
        <v>大塚　隆</v>
      </c>
    </row>
    <row r="6" spans="1:7" x14ac:dyDescent="0.45">
      <c r="A6" t="s">
        <v>4</v>
      </c>
      <c r="C6" s="3">
        <f>SUBTOTAL(109,社員テーブル[売上])</f>
        <v>5000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A902F-CC1C-461C-9183-3DB7D2CA7D69}">
  <dimension ref="A1:K18"/>
  <sheetViews>
    <sheetView showGridLines="0" tabSelected="1" workbookViewId="0"/>
  </sheetViews>
  <sheetFormatPr defaultRowHeight="18.75" x14ac:dyDescent="0.45"/>
  <cols>
    <col min="1" max="1" width="12.44140625" customWidth="1"/>
    <col min="2" max="2" width="11.6640625" customWidth="1"/>
    <col min="3" max="3" width="8.88671875" customWidth="1"/>
    <col min="5" max="5" width="12.109375" customWidth="1"/>
    <col min="6" max="6" width="12.6640625" customWidth="1"/>
    <col min="9" max="9" width="12.109375" customWidth="1"/>
    <col min="10" max="10" width="12.6640625" customWidth="1"/>
  </cols>
  <sheetData>
    <row r="1" spans="1:11" x14ac:dyDescent="0.45">
      <c r="A1" s="8" t="s">
        <v>13</v>
      </c>
    </row>
    <row r="2" spans="1:11" x14ac:dyDescent="0.45">
      <c r="A2" s="9">
        <v>44450</v>
      </c>
      <c r="B2" t="b">
        <f>A2=DATE(2021,9,11)</f>
        <v>1</v>
      </c>
    </row>
    <row r="3" spans="1:11" x14ac:dyDescent="0.45">
      <c r="A3" s="9"/>
    </row>
    <row r="5" spans="1:11" x14ac:dyDescent="0.45">
      <c r="A5" s="8" t="s">
        <v>23</v>
      </c>
      <c r="E5" s="8" t="s">
        <v>24</v>
      </c>
      <c r="I5" s="8" t="s">
        <v>25</v>
      </c>
    </row>
    <row r="6" spans="1:11" x14ac:dyDescent="0.45">
      <c r="A6" s="4" t="s">
        <v>14</v>
      </c>
      <c r="B6" s="4" t="s">
        <v>15</v>
      </c>
      <c r="C6" s="4" t="s">
        <v>16</v>
      </c>
      <c r="E6" s="4" t="s">
        <v>14</v>
      </c>
      <c r="F6" s="4" t="s">
        <v>15</v>
      </c>
      <c r="G6" s="4" t="s">
        <v>16</v>
      </c>
      <c r="I6" s="4" t="s">
        <v>14</v>
      </c>
      <c r="J6" s="4" t="s">
        <v>15</v>
      </c>
      <c r="K6" s="4" t="s">
        <v>16</v>
      </c>
    </row>
    <row r="7" spans="1:11" x14ac:dyDescent="0.45">
      <c r="A7" s="7" t="s">
        <v>17</v>
      </c>
      <c r="B7" s="7" t="s">
        <v>18</v>
      </c>
      <c r="C7" s="7" t="b">
        <f>A7=B7</f>
        <v>1</v>
      </c>
      <c r="E7" s="7" t="s">
        <v>17</v>
      </c>
      <c r="F7" s="7" t="s">
        <v>18</v>
      </c>
      <c r="G7" s="7" t="b">
        <f>EXACT(E7,F7)</f>
        <v>0</v>
      </c>
      <c r="I7" s="7" t="s">
        <v>17</v>
      </c>
      <c r="J7" s="7" t="s">
        <v>18</v>
      </c>
      <c r="K7" s="7" t="b">
        <f>DBCS(I7)=DBCS(J7)</f>
        <v>1</v>
      </c>
    </row>
    <row r="8" spans="1:11" x14ac:dyDescent="0.45">
      <c r="A8" s="7" t="s">
        <v>19</v>
      </c>
      <c r="B8" s="7" t="s">
        <v>17</v>
      </c>
      <c r="C8" s="7" t="b">
        <f>A8=B8</f>
        <v>0</v>
      </c>
      <c r="E8" s="7" t="s">
        <v>19</v>
      </c>
      <c r="F8" s="7" t="s">
        <v>17</v>
      </c>
      <c r="G8" s="7" t="b">
        <f>EXACT(E8,F8)</f>
        <v>0</v>
      </c>
      <c r="I8" s="7" t="s">
        <v>19</v>
      </c>
      <c r="J8" s="7" t="s">
        <v>17</v>
      </c>
      <c r="K8" s="7" t="b">
        <f>DBCS(I8)=DBCS(J8)</f>
        <v>1</v>
      </c>
    </row>
    <row r="9" spans="1:11" x14ac:dyDescent="0.45">
      <c r="A9" s="7" t="s">
        <v>20</v>
      </c>
      <c r="B9" s="7" t="s">
        <v>21</v>
      </c>
      <c r="C9" s="7" t="b">
        <f>A9=B9</f>
        <v>0</v>
      </c>
      <c r="E9" s="7" t="s">
        <v>20</v>
      </c>
      <c r="F9" s="7" t="s">
        <v>21</v>
      </c>
      <c r="G9" s="7" t="b">
        <f>EXACT(E9,F9)</f>
        <v>0</v>
      </c>
      <c r="I9" s="7" t="s">
        <v>20</v>
      </c>
      <c r="J9" s="7" t="s">
        <v>21</v>
      </c>
      <c r="K9" s="7" t="b">
        <f>DBCS(I9)=DBCS(J9)</f>
        <v>1</v>
      </c>
    </row>
    <row r="10" spans="1:11" x14ac:dyDescent="0.45">
      <c r="A10" s="7" t="s">
        <v>22</v>
      </c>
      <c r="B10" s="7" t="s">
        <v>20</v>
      </c>
      <c r="C10" s="7" t="b">
        <f>A10=B10</f>
        <v>0</v>
      </c>
      <c r="E10" s="7" t="s">
        <v>22</v>
      </c>
      <c r="F10" s="7" t="s">
        <v>20</v>
      </c>
      <c r="G10" s="7" t="b">
        <f>EXACT(E10,F10)</f>
        <v>0</v>
      </c>
      <c r="I10" s="7" t="s">
        <v>22</v>
      </c>
      <c r="J10" s="7" t="s">
        <v>20</v>
      </c>
      <c r="K10" s="7" t="b">
        <f>DBCS(I10)=DBCS(J10)</f>
        <v>0</v>
      </c>
    </row>
    <row r="13" spans="1:11" x14ac:dyDescent="0.45">
      <c r="A13" s="8" t="s">
        <v>28</v>
      </c>
    </row>
    <row r="14" spans="1:11" x14ac:dyDescent="0.45">
      <c r="A14" s="12" t="s">
        <v>26</v>
      </c>
      <c r="B14" s="13"/>
      <c r="C14" s="4" t="s">
        <v>16</v>
      </c>
    </row>
    <row r="15" spans="1:11" x14ac:dyDescent="0.45">
      <c r="A15" s="10" t="s">
        <v>27</v>
      </c>
      <c r="B15" s="10"/>
      <c r="C15" s="7" t="b">
        <f>COUNTIF(A15, "東京都*区*")=1</f>
        <v>1</v>
      </c>
    </row>
    <row r="16" spans="1:11" x14ac:dyDescent="0.45">
      <c r="A16" s="10" t="s">
        <v>29</v>
      </c>
      <c r="B16" s="10"/>
      <c r="C16" s="7" t="b">
        <f>COUNTIF(A16, "東京都*区*")=1</f>
        <v>0</v>
      </c>
    </row>
    <row r="17" spans="1:3" x14ac:dyDescent="0.45">
      <c r="A17" s="11" t="s">
        <v>30</v>
      </c>
      <c r="B17" s="11"/>
      <c r="C17" s="7" t="b">
        <f>COUNTIF(A17, "東京都*区*")=1</f>
        <v>1</v>
      </c>
    </row>
    <row r="18" spans="1:3" x14ac:dyDescent="0.45">
      <c r="A18" s="11" t="s">
        <v>31</v>
      </c>
      <c r="B18" s="11"/>
      <c r="C18" s="7" t="b">
        <f>COUNTIF(A18, "東京都*区*")=1</f>
        <v>0</v>
      </c>
    </row>
  </sheetData>
  <mergeCells count="5">
    <mergeCell ref="A14:B14"/>
    <mergeCell ref="A15:B15"/>
    <mergeCell ref="A16:B16"/>
    <mergeCell ref="A17:B17"/>
    <mergeCell ref="A18:B18"/>
  </mergeCells>
  <phoneticPr fontId="2"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393194-9D04-4626-A0AB-B03AF71660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テーブルの構造化参照</vt:lpstr>
      <vt:lpstr>比較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2021-09-10T13:02:44Z</dcterms:created>
  <dcterms:modified xsi:type="dcterms:W3CDTF">2021-09-11T06:15:01Z</dcterms:modified>
</cp:coreProperties>
</file>