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2\"/>
    </mc:Choice>
  </mc:AlternateContent>
  <xr:revisionPtr revIDLastSave="0" documentId="13_ncr:1_{F635BC12-9F18-45CE-B424-17DFAA62BA15}" xr6:coauthVersionLast="47" xr6:coauthVersionMax="47" xr10:uidLastSave="{00000000-0000-0000-0000-000000000000}"/>
  <bookViews>
    <workbookView xWindow="-120" yWindow="-120" windowWidth="29040" windowHeight="15840" activeTab="7" xr2:uid="{FA0E9939-4026-4DC1-8E9C-09F900270F54}"/>
  </bookViews>
  <sheets>
    <sheet name="入力モード切替" sheetId="1" r:id="rId1"/>
    <sheet name="2つの入力リストを連動" sheetId="2" r:id="rId2"/>
    <sheet name="コントロール" sheetId="3" r:id="rId3"/>
    <sheet name="コントロールの入力内容をシートに転記" sheetId="4" r:id="rId4"/>
    <sheet name="書式設定" sheetId="5" r:id="rId5"/>
    <sheet name="条件付き書式1" sheetId="6" r:id="rId6"/>
    <sheet name="条件付き書式2" sheetId="7" r:id="rId7"/>
    <sheet name="条件付き書式3" sheetId="8" r:id="rId8"/>
  </sheets>
  <definedNames>
    <definedName name="営業部">'2つの入力リストを連動'!$I$3:$I$6</definedName>
    <definedName name="管理部">'2つの入力リストを連動'!$G$3:$G$5</definedName>
    <definedName name="経営戦略部">'2つの入力リストを連動'!$H$3:$H$4</definedName>
    <definedName name="生産部">'2つの入力リストを連動'!$J$3:$J$5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5" l="1"/>
  <c r="C17" i="5"/>
  <c r="C16" i="5"/>
  <c r="C15" i="5"/>
  <c r="C13" i="5"/>
  <c r="C14" i="5"/>
  <c r="C12" i="5"/>
  <c r="C11" i="5"/>
  <c r="C10" i="5"/>
  <c r="C9" i="5"/>
  <c r="C8" i="5"/>
  <c r="C7" i="5"/>
  <c r="C6" i="5"/>
  <c r="C5" i="5"/>
  <c r="C4" i="5"/>
  <c r="C3" i="5"/>
  <c r="C2" i="5"/>
  <c r="I6" i="4"/>
  <c r="I3" i="4"/>
  <c r="I10" i="4"/>
  <c r="I9" i="4"/>
  <c r="B8" i="3"/>
  <c r="B6" i="3"/>
  <c r="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B3" authorId="0" shapeId="0" xr:uid="{AEA83DA2-C8D0-42BF-94A2-4926DDC3F007}">
      <text>
        <r>
          <rPr>
            <b/>
            <sz val="9"/>
            <color indexed="81"/>
            <rFont val="MS P ゴシック"/>
            <family val="3"/>
            <charset val="128"/>
          </rPr>
          <t>データ入力規則で切替</t>
        </r>
      </text>
    </comment>
  </commentList>
</comments>
</file>

<file path=xl/sharedStrings.xml><?xml version="1.0" encoding="utf-8"?>
<sst xmlns="http://schemas.openxmlformats.org/spreadsheetml/2006/main" count="253" uniqueCount="137">
  <si>
    <t>全角カタカナ</t>
    <rPh sb="0" eb="2">
      <t>ゼンカク</t>
    </rPh>
    <phoneticPr fontId="2"/>
  </si>
  <si>
    <t>半角カタカナ</t>
    <rPh sb="0" eb="2">
      <t>ハンカク</t>
    </rPh>
    <phoneticPr fontId="2"/>
  </si>
  <si>
    <t>全角英数</t>
    <rPh sb="0" eb="2">
      <t>ゼンカク</t>
    </rPh>
    <rPh sb="2" eb="4">
      <t>エイスウ</t>
    </rPh>
    <phoneticPr fontId="2"/>
  </si>
  <si>
    <t>ひらがな</t>
    <phoneticPr fontId="2"/>
  </si>
  <si>
    <t>半角英数</t>
    <rPh sb="0" eb="2">
      <t>ハンカク</t>
    </rPh>
    <rPh sb="2" eb="4">
      <t>エイスウ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</si>
  <si>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</si>
  <si>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</si>
  <si>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</si>
  <si>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ｔａｃｈｉｔｓｕｔｅｔｏ</t>
    <phoneticPr fontId="2"/>
  </si>
  <si>
    <t>naninuneno</t>
    <phoneticPr fontId="2"/>
  </si>
  <si>
    <t>セルごとに初期の入力モードを切り替える</t>
    <rPh sb="5" eb="7">
      <t>ショキ</t>
    </rPh>
    <rPh sb="8" eb="10">
      <t>ニュウリョク</t>
    </rPh>
    <rPh sb="14" eb="15">
      <t>キ</t>
    </rPh>
    <rPh sb="16" eb="17">
      <t>カ</t>
    </rPh>
    <phoneticPr fontId="2"/>
  </si>
  <si>
    <t>社員名簿</t>
    <rPh sb="0" eb="2">
      <t>シャイン</t>
    </rPh>
    <rPh sb="2" eb="4">
      <t>メイボ</t>
    </rPh>
    <phoneticPr fontId="2"/>
  </si>
  <si>
    <t>社員番号</t>
    <rPh sb="0" eb="2">
      <t>シャイン</t>
    </rPh>
    <rPh sb="2" eb="4">
      <t>バンゴウ</t>
    </rPh>
    <phoneticPr fontId="2"/>
  </si>
  <si>
    <t>氏名</t>
    <rPh sb="0" eb="2">
      <t>シメイ</t>
    </rPh>
    <phoneticPr fontId="2"/>
  </si>
  <si>
    <t>入社年</t>
    <rPh sb="0" eb="2">
      <t>ニュウシャ</t>
    </rPh>
    <rPh sb="2" eb="3">
      <t>トシ</t>
    </rPh>
    <phoneticPr fontId="2"/>
  </si>
  <si>
    <t>所属部</t>
    <rPh sb="0" eb="3">
      <t>ショゾクブ</t>
    </rPh>
    <phoneticPr fontId="2"/>
  </si>
  <si>
    <t>所属課</t>
    <rPh sb="0" eb="3">
      <t>ショゾクカ</t>
    </rPh>
    <phoneticPr fontId="2"/>
  </si>
  <si>
    <t>入力リスト</t>
    <rPh sb="0" eb="2">
      <t>ニュウリョク</t>
    </rPh>
    <phoneticPr fontId="2"/>
  </si>
  <si>
    <t>管理部</t>
    <rPh sb="0" eb="3">
      <t>カンリブ</t>
    </rPh>
    <phoneticPr fontId="2"/>
  </si>
  <si>
    <t>法務課</t>
    <rPh sb="0" eb="3">
      <t>ホウムカ</t>
    </rPh>
    <phoneticPr fontId="2"/>
  </si>
  <si>
    <t>購買課</t>
    <rPh sb="0" eb="3">
      <t>コウバイカ</t>
    </rPh>
    <phoneticPr fontId="2"/>
  </si>
  <si>
    <t>総務人事課</t>
    <rPh sb="0" eb="5">
      <t>ソウムジンジカ</t>
    </rPh>
    <phoneticPr fontId="2"/>
  </si>
  <si>
    <t>経営戦略部</t>
    <rPh sb="0" eb="2">
      <t>ケイエイ</t>
    </rPh>
    <rPh sb="2" eb="5">
      <t>センリャクブ</t>
    </rPh>
    <phoneticPr fontId="2"/>
  </si>
  <si>
    <t>経営企画課</t>
    <rPh sb="0" eb="5">
      <t>ケイエイキカクカ</t>
    </rPh>
    <phoneticPr fontId="2"/>
  </si>
  <si>
    <t>人材戦略課</t>
    <rPh sb="0" eb="2">
      <t>ジンザイ</t>
    </rPh>
    <rPh sb="2" eb="5">
      <t>センリャクカ</t>
    </rPh>
    <phoneticPr fontId="2"/>
  </si>
  <si>
    <t>営業部</t>
    <rPh sb="0" eb="3">
      <t>エイギョウブ</t>
    </rPh>
    <phoneticPr fontId="2"/>
  </si>
  <si>
    <t>営業第１課</t>
    <rPh sb="0" eb="2">
      <t>エイギョウ</t>
    </rPh>
    <rPh sb="2" eb="3">
      <t>ダイ</t>
    </rPh>
    <rPh sb="4" eb="5">
      <t>カ</t>
    </rPh>
    <phoneticPr fontId="2"/>
  </si>
  <si>
    <t>営業第２課</t>
    <rPh sb="0" eb="2">
      <t>エイギョウ</t>
    </rPh>
    <rPh sb="2" eb="3">
      <t>ダイ</t>
    </rPh>
    <rPh sb="4" eb="5">
      <t>カ</t>
    </rPh>
    <phoneticPr fontId="2"/>
  </si>
  <si>
    <t>営業第３課</t>
    <rPh sb="0" eb="2">
      <t>エイギョウ</t>
    </rPh>
    <rPh sb="2" eb="3">
      <t>ダイ</t>
    </rPh>
    <rPh sb="4" eb="5">
      <t>カ</t>
    </rPh>
    <phoneticPr fontId="2"/>
  </si>
  <si>
    <t>生産部</t>
    <rPh sb="0" eb="3">
      <t>セイサンブ</t>
    </rPh>
    <phoneticPr fontId="2"/>
  </si>
  <si>
    <t>海外営業課</t>
    <rPh sb="0" eb="2">
      <t>カイガイ</t>
    </rPh>
    <rPh sb="2" eb="4">
      <t>エイギョウ</t>
    </rPh>
    <rPh sb="4" eb="5">
      <t>カ</t>
    </rPh>
    <phoneticPr fontId="2"/>
  </si>
  <si>
    <t>製造課</t>
    <rPh sb="0" eb="2">
      <t>セイゾウ</t>
    </rPh>
    <rPh sb="2" eb="3">
      <t>カ</t>
    </rPh>
    <phoneticPr fontId="2"/>
  </si>
  <si>
    <t>生産技術課</t>
    <rPh sb="0" eb="2">
      <t>セイサン</t>
    </rPh>
    <rPh sb="2" eb="4">
      <t>ギジュツ</t>
    </rPh>
    <rPh sb="4" eb="5">
      <t>カ</t>
    </rPh>
    <phoneticPr fontId="2"/>
  </si>
  <si>
    <t>品質管理課</t>
    <rPh sb="0" eb="2">
      <t>ヒンシツ</t>
    </rPh>
    <rPh sb="2" eb="4">
      <t>カンリ</t>
    </rPh>
    <rPh sb="4" eb="5">
      <t>カ</t>
    </rPh>
    <phoneticPr fontId="2"/>
  </si>
  <si>
    <t>年齢</t>
    <rPh sb="0" eb="2">
      <t>ネンレイ</t>
    </rPh>
    <phoneticPr fontId="2"/>
  </si>
  <si>
    <t>扶養家族有無</t>
    <rPh sb="0" eb="4">
      <t>フヨウカゾク</t>
    </rPh>
    <rPh sb="4" eb="6">
      <t>ウム</t>
    </rPh>
    <phoneticPr fontId="2"/>
  </si>
  <si>
    <t>丸の内本社</t>
    <rPh sb="0" eb="1">
      <t>マル</t>
    </rPh>
    <rPh sb="2" eb="3">
      <t>ウチ</t>
    </rPh>
    <rPh sb="3" eb="5">
      <t>ホンシャ</t>
    </rPh>
    <phoneticPr fontId="2"/>
  </si>
  <si>
    <t>つくば研究所</t>
    <rPh sb="3" eb="6">
      <t>ケンキュウジョ</t>
    </rPh>
    <phoneticPr fontId="2"/>
  </si>
  <si>
    <t>千葉配送センター</t>
    <rPh sb="0" eb="2">
      <t>チバ</t>
    </rPh>
    <rPh sb="2" eb="4">
      <t>ハイソウ</t>
    </rPh>
    <phoneticPr fontId="2"/>
  </si>
  <si>
    <t>勤務地</t>
    <rPh sb="0" eb="3">
      <t>キンムチ</t>
    </rPh>
    <phoneticPr fontId="2"/>
  </si>
  <si>
    <t>浦和工場</t>
    <rPh sb="0" eb="4">
      <t>ウラワコウジョウ</t>
    </rPh>
    <phoneticPr fontId="2"/>
  </si>
  <si>
    <t>性別</t>
    <rPh sb="0" eb="2">
      <t>セイベツ</t>
    </rPh>
    <phoneticPr fontId="2"/>
  </si>
  <si>
    <t>アンケート回答入力</t>
    <rPh sb="5" eb="7">
      <t>カイトウ</t>
    </rPh>
    <rPh sb="7" eb="9">
      <t>ニュウリョク</t>
    </rPh>
    <phoneticPr fontId="2"/>
  </si>
  <si>
    <t>Q1</t>
    <phoneticPr fontId="2"/>
  </si>
  <si>
    <t>Q2</t>
    <phoneticPr fontId="2"/>
  </si>
  <si>
    <t>Q3</t>
    <phoneticPr fontId="2"/>
  </si>
  <si>
    <t>Q4</t>
    <phoneticPr fontId="2"/>
  </si>
  <si>
    <t>男</t>
  </si>
  <si>
    <t>40代</t>
  </si>
  <si>
    <t>いいえ</t>
  </si>
  <si>
    <t>女</t>
  </si>
  <si>
    <t>50代</t>
  </si>
  <si>
    <t>はい</t>
  </si>
  <si>
    <t>30代</t>
  </si>
  <si>
    <t>20代</t>
  </si>
  <si>
    <t>表示形式</t>
    <rPh sb="0" eb="2">
      <t>ヒョウジ</t>
    </rPh>
    <rPh sb="2" eb="4">
      <t>ケイシキ</t>
    </rPh>
    <phoneticPr fontId="2"/>
  </si>
  <si>
    <t>セルの値</t>
    <rPh sb="3" eb="4">
      <t>アタイ</t>
    </rPh>
    <phoneticPr fontId="2"/>
  </si>
  <si>
    <t>セルの表示</t>
    <rPh sb="3" eb="5">
      <t>ヒョウジ</t>
    </rPh>
    <phoneticPr fontId="2"/>
  </si>
  <si>
    <t>説明</t>
    <rPh sb="0" eb="2">
      <t>セツメイ</t>
    </rPh>
    <phoneticPr fontId="2"/>
  </si>
  <si>
    <t>?.?</t>
    <phoneticPr fontId="2"/>
  </si>
  <si>
    <t>0.0</t>
    <phoneticPr fontId="2"/>
  </si>
  <si>
    <t>いずれの表示形式も整数部の数値はすべて表示され、小数部は四捨五入される。それぞれの差異は、整数部や小数部が0桁以下のケースの補完方法にある。
⇒#:何もしない、0:0で補完、?:スペースで補完</t>
    <rPh sb="4" eb="6">
      <t>ヒョウジ</t>
    </rPh>
    <rPh sb="6" eb="8">
      <t>ケイシキ</t>
    </rPh>
    <rPh sb="9" eb="11">
      <t>セイスウ</t>
    </rPh>
    <rPh sb="11" eb="12">
      <t>ブ</t>
    </rPh>
    <rPh sb="13" eb="15">
      <t>スウチ</t>
    </rPh>
    <rPh sb="19" eb="21">
      <t>ヒョウジ</t>
    </rPh>
    <rPh sb="24" eb="27">
      <t>ショウスウブ</t>
    </rPh>
    <rPh sb="28" eb="32">
      <t>シシャゴニュウ</t>
    </rPh>
    <rPh sb="41" eb="43">
      <t>サイ</t>
    </rPh>
    <rPh sb="45" eb="48">
      <t>セイスウブ</t>
    </rPh>
    <rPh sb="49" eb="52">
      <t>ショウスウブ</t>
    </rPh>
    <rPh sb="54" eb="55">
      <t>ケタ</t>
    </rPh>
    <rPh sb="55" eb="57">
      <t>イカ</t>
    </rPh>
    <rPh sb="62" eb="64">
      <t>ホカン</t>
    </rPh>
    <rPh sb="64" eb="66">
      <t>ホウホウ</t>
    </rPh>
    <rPh sb="74" eb="75">
      <t>ナニ</t>
    </rPh>
    <rPh sb="84" eb="86">
      <t>ホカン</t>
    </rPh>
    <rPh sb="94" eb="96">
      <t>ホカン</t>
    </rPh>
    <phoneticPr fontId="2"/>
  </si>
  <si>
    <t>#.#</t>
    <phoneticPr fontId="2"/>
  </si>
  <si>
    <t>#,###</t>
    <phoneticPr fontId="2"/>
  </si>
  <si>
    <t>セルの値が3桁区切りで表示される。セルの値が0の場合は何も表示されない</t>
    <rPh sb="3" eb="4">
      <t>アタイ</t>
    </rPh>
    <rPh sb="6" eb="9">
      <t>ケタクギ</t>
    </rPh>
    <rPh sb="11" eb="13">
      <t>ヒョウジ</t>
    </rPh>
    <rPh sb="20" eb="21">
      <t>アタイ</t>
    </rPh>
    <rPh sb="24" eb="26">
      <t>バアイ</t>
    </rPh>
    <rPh sb="27" eb="28">
      <t>ナニ</t>
    </rPh>
    <rPh sb="29" eb="31">
      <t>ヒョウジ</t>
    </rPh>
    <phoneticPr fontId="2"/>
  </si>
  <si>
    <t>#,##0</t>
    <phoneticPr fontId="2"/>
  </si>
  <si>
    <t>セルの値が3桁区切りで表示される。セルの値が0の場合は0が表示される</t>
    <rPh sb="3" eb="4">
      <t>アタイ</t>
    </rPh>
    <rPh sb="6" eb="9">
      <t>ケタクギ</t>
    </rPh>
    <rPh sb="11" eb="13">
      <t>ヒョウジ</t>
    </rPh>
    <rPh sb="20" eb="21">
      <t>アタイ</t>
    </rPh>
    <rPh sb="24" eb="26">
      <t>バアイ</t>
    </rPh>
    <rPh sb="29" eb="31">
      <t>ヒョウジ</t>
    </rPh>
    <phoneticPr fontId="2"/>
  </si>
  <si>
    <t>#,##0..</t>
    <phoneticPr fontId="2"/>
  </si>
  <si>
    <t>末尾の「,」１つにつき数値の下３桁が省略される</t>
    <rPh sb="0" eb="2">
      <t>マツビ</t>
    </rPh>
    <rPh sb="11" eb="13">
      <t>スウチ</t>
    </rPh>
    <rPh sb="14" eb="15">
      <t>シタ</t>
    </rPh>
    <rPh sb="16" eb="17">
      <t>ケタ</t>
    </rPh>
    <rPh sb="18" eb="20">
      <t>ショウリャク</t>
    </rPh>
    <phoneticPr fontId="2"/>
  </si>
  <si>
    <t>0.??</t>
    <phoneticPr fontId="2"/>
  </si>
  <si>
    <t>セルの値の小数部が２桁未満の場合にスペースで補完し、少数の位置が揃えられる</t>
    <rPh sb="3" eb="4">
      <t>アタイ</t>
    </rPh>
    <rPh sb="5" eb="8">
      <t>ショウスウブ</t>
    </rPh>
    <rPh sb="10" eb="13">
      <t>ケタミマン</t>
    </rPh>
    <rPh sb="14" eb="16">
      <t>バアイ</t>
    </rPh>
    <rPh sb="22" eb="24">
      <t>ホカン</t>
    </rPh>
    <rPh sb="26" eb="28">
      <t>ショウスウ</t>
    </rPh>
    <rPh sb="29" eb="31">
      <t>イチ</t>
    </rPh>
    <rPh sb="32" eb="33">
      <t>ソロ</t>
    </rPh>
    <phoneticPr fontId="2"/>
  </si>
  <si>
    <t>[青]0;[赤]-0;[黒]0</t>
    <phoneticPr fontId="2"/>
  </si>
  <si>
    <t>整数は青、負数は赤、0は黒色で表示</t>
    <rPh sb="0" eb="2">
      <t>セイスウ</t>
    </rPh>
    <rPh sb="3" eb="4">
      <t>アオ</t>
    </rPh>
    <rPh sb="5" eb="7">
      <t>フスウ</t>
    </rPh>
    <rPh sb="8" eb="9">
      <t>アカ</t>
    </rPh>
    <rPh sb="12" eb="13">
      <t>クロ</t>
    </rPh>
    <rPh sb="13" eb="14">
      <t>イロ</t>
    </rPh>
    <rPh sb="15" eb="17">
      <t>ヒョウジ</t>
    </rPh>
    <phoneticPr fontId="2"/>
  </si>
  <si>
    <t>[青][&gt;=80]0;[赤][&lt;=40]0;[黒]0</t>
    <phoneticPr fontId="2"/>
  </si>
  <si>
    <t>80以上の数値が青、40以下の数値が赤、それ以外は黒色で表示</t>
    <rPh sb="2" eb="4">
      <t>イジョウ</t>
    </rPh>
    <rPh sb="5" eb="7">
      <t>スウチ</t>
    </rPh>
    <rPh sb="8" eb="9">
      <t>アオ</t>
    </rPh>
    <rPh sb="12" eb="14">
      <t>イカ</t>
    </rPh>
    <rPh sb="15" eb="17">
      <t>スウチ</t>
    </rPh>
    <rPh sb="18" eb="19">
      <t>アカ</t>
    </rPh>
    <rPh sb="22" eb="24">
      <t>イガイ</t>
    </rPh>
    <rPh sb="25" eb="26">
      <t>クロ</t>
    </rPh>
    <rPh sb="26" eb="27">
      <t>イロ</t>
    </rPh>
    <rPh sb="28" eb="30">
      <t>ヒョウジ</t>
    </rPh>
    <phoneticPr fontId="2"/>
  </si>
  <si>
    <t>0{改行(Ctrl + J)}日</t>
    <rPh sb="2" eb="4">
      <t>カイギョウ</t>
    </rPh>
    <rPh sb="15" eb="16">
      <t>ニチ</t>
    </rPh>
    <phoneticPr fontId="2"/>
  </si>
  <si>
    <t>改行を入れて表示する
（対象セルに”折り返して全体を表示する”が必須）</t>
    <rPh sb="0" eb="2">
      <t>カイギョウ</t>
    </rPh>
    <rPh sb="3" eb="4">
      <t>イ</t>
    </rPh>
    <rPh sb="6" eb="8">
      <t>ヒョウジ</t>
    </rPh>
    <rPh sb="12" eb="14">
      <t>タイショウ</t>
    </rPh>
    <rPh sb="18" eb="19">
      <t>オ</t>
    </rPh>
    <rPh sb="20" eb="21">
      <t>カエ</t>
    </rPh>
    <rPh sb="23" eb="25">
      <t>ゼンタイ</t>
    </rPh>
    <rPh sb="26" eb="28">
      <t>ヒョウジ</t>
    </rPh>
    <rPh sb="32" eb="34">
      <t>ヒッス</t>
    </rPh>
    <phoneticPr fontId="2"/>
  </si>
  <si>
    <t>会員No</t>
    <rPh sb="0" eb="2">
      <t>カイイン</t>
    </rPh>
    <phoneticPr fontId="2"/>
  </si>
  <si>
    <t>住所</t>
    <rPh sb="0" eb="2">
      <t>ジュウショ</t>
    </rPh>
    <phoneticPr fontId="2"/>
  </si>
  <si>
    <t>飯塚　健</t>
    <rPh sb="0" eb="2">
      <t>イイヅカ</t>
    </rPh>
    <rPh sb="3" eb="4">
      <t>ケン</t>
    </rPh>
    <phoneticPr fontId="2"/>
  </si>
  <si>
    <t>東京都大田区X-X-X</t>
    <rPh sb="0" eb="3">
      <t>トウキョウト</t>
    </rPh>
    <rPh sb="3" eb="6">
      <t>オオタク</t>
    </rPh>
    <phoneticPr fontId="2"/>
  </si>
  <si>
    <t>松　省吾</t>
    <rPh sb="0" eb="1">
      <t>マツ</t>
    </rPh>
    <rPh sb="2" eb="4">
      <t>ショウゴ</t>
    </rPh>
    <phoneticPr fontId="2"/>
  </si>
  <si>
    <t>埼玉県川口市X-X-X</t>
    <rPh sb="0" eb="3">
      <t>サイタマケン</t>
    </rPh>
    <rPh sb="3" eb="6">
      <t>カワグチシ</t>
    </rPh>
    <phoneticPr fontId="2"/>
  </si>
  <si>
    <t>柿谷　沙織</t>
    <rPh sb="0" eb="2">
      <t>カキタニ</t>
    </rPh>
    <rPh sb="3" eb="5">
      <t>サオリ</t>
    </rPh>
    <phoneticPr fontId="2"/>
  </si>
  <si>
    <t>東京都八王子市石川町X-X-X</t>
    <rPh sb="0" eb="3">
      <t>トウキョウト</t>
    </rPh>
    <rPh sb="3" eb="6">
      <t>ハチオウジ</t>
    </rPh>
    <rPh sb="6" eb="7">
      <t>シ</t>
    </rPh>
    <rPh sb="7" eb="10">
      <t>イシカワチョウ</t>
    </rPh>
    <phoneticPr fontId="2"/>
  </si>
  <si>
    <t>福井　優香</t>
    <rPh sb="0" eb="2">
      <t>フクイ</t>
    </rPh>
    <rPh sb="3" eb="5">
      <t>ユウカ</t>
    </rPh>
    <phoneticPr fontId="2"/>
  </si>
  <si>
    <t>東京都杉並区高井戸X-X-X</t>
    <rPh sb="0" eb="3">
      <t>トウキョウト</t>
    </rPh>
    <rPh sb="3" eb="6">
      <t>スギナミク</t>
    </rPh>
    <rPh sb="6" eb="9">
      <t>タカイド</t>
    </rPh>
    <phoneticPr fontId="2"/>
  </si>
  <si>
    <t>政本　誠</t>
    <rPh sb="0" eb="2">
      <t>マサモト</t>
    </rPh>
    <rPh sb="3" eb="4">
      <t>マコト</t>
    </rPh>
    <phoneticPr fontId="2"/>
  </si>
  <si>
    <t>千葉県浦安市今川X-X-X</t>
    <rPh sb="0" eb="3">
      <t>チバケン</t>
    </rPh>
    <rPh sb="3" eb="6">
      <t>ウラヤスシ</t>
    </rPh>
    <rPh sb="6" eb="8">
      <t>イマガワ</t>
    </rPh>
    <phoneticPr fontId="2"/>
  </si>
  <si>
    <t>ワイルドカード（住所が「東京都〇〇区XX」の行に色をつける）</t>
    <rPh sb="8" eb="10">
      <t>ジュウショ</t>
    </rPh>
    <rPh sb="12" eb="15">
      <t>トウキョウト</t>
    </rPh>
    <rPh sb="17" eb="18">
      <t>ク</t>
    </rPh>
    <rPh sb="22" eb="23">
      <t>ギョウ</t>
    </rPh>
    <rPh sb="24" eb="25">
      <t>イロ</t>
    </rPh>
    <phoneticPr fontId="2"/>
  </si>
  <si>
    <t>No</t>
  </si>
  <si>
    <t>No</t>
    <phoneticPr fontId="2"/>
  </si>
  <si>
    <t>所属</t>
    <rPh sb="0" eb="2">
      <t>ショゾク</t>
    </rPh>
    <phoneticPr fontId="2"/>
  </si>
  <si>
    <t>市川　瞳</t>
    <rPh sb="0" eb="2">
      <t>イチカワ</t>
    </rPh>
    <rPh sb="3" eb="4">
      <t>ヒトミ</t>
    </rPh>
    <phoneticPr fontId="2"/>
  </si>
  <si>
    <t>村松　幸弘</t>
    <rPh sb="0" eb="2">
      <t>ムラマツ</t>
    </rPh>
    <rPh sb="3" eb="5">
      <t>ユキヒロ</t>
    </rPh>
    <phoneticPr fontId="2"/>
  </si>
  <si>
    <t>本橋　真由美</t>
    <rPh sb="0" eb="2">
      <t>モトハシ</t>
    </rPh>
    <rPh sb="3" eb="6">
      <t>マユミ</t>
    </rPh>
    <phoneticPr fontId="2"/>
  </si>
  <si>
    <t>経理部</t>
    <rPh sb="0" eb="3">
      <t>ケイリブ</t>
    </rPh>
    <phoneticPr fontId="2"/>
  </si>
  <si>
    <t>田中　健二</t>
    <rPh sb="0" eb="2">
      <t>タナカ</t>
    </rPh>
    <rPh sb="3" eb="5">
      <t>ケンジ</t>
    </rPh>
    <phoneticPr fontId="2"/>
  </si>
  <si>
    <t>データ重複チェック（氏名と所属が重複する行に色をつける）</t>
    <rPh sb="3" eb="5">
      <t>チョウフク</t>
    </rPh>
    <rPh sb="10" eb="12">
      <t>シメイ</t>
    </rPh>
    <rPh sb="13" eb="15">
      <t>ショゾク</t>
    </rPh>
    <rPh sb="16" eb="18">
      <t>チョウフク</t>
    </rPh>
    <rPh sb="20" eb="21">
      <t>ギョウ</t>
    </rPh>
    <rPh sb="22" eb="23">
      <t>イロ</t>
    </rPh>
    <phoneticPr fontId="2"/>
  </si>
  <si>
    <t>古賀　亮介</t>
    <rPh sb="0" eb="2">
      <t>コガ</t>
    </rPh>
    <rPh sb="3" eb="5">
      <t>リョウスケ</t>
    </rPh>
    <phoneticPr fontId="2"/>
  </si>
  <si>
    <t>データ重複チェック（２件目以降だけ色をつける）</t>
    <rPh sb="3" eb="5">
      <t>チョウフク</t>
    </rPh>
    <rPh sb="11" eb="12">
      <t>ケン</t>
    </rPh>
    <rPh sb="12" eb="13">
      <t>メ</t>
    </rPh>
    <rPh sb="13" eb="15">
      <t>イコウ</t>
    </rPh>
    <rPh sb="17" eb="18">
      <t>イロ</t>
    </rPh>
    <phoneticPr fontId="2"/>
  </si>
  <si>
    <t>１行おきに色をつける</t>
    <rPh sb="1" eb="2">
      <t>ギョウ</t>
    </rPh>
    <rPh sb="5" eb="6">
      <t>イロ</t>
    </rPh>
    <phoneticPr fontId="2"/>
  </si>
  <si>
    <t>男</t>
    <rPh sb="0" eb="1">
      <t>オトコ</t>
    </rPh>
    <phoneticPr fontId="2"/>
  </si>
  <si>
    <t>女</t>
    <rPh sb="0" eb="1">
      <t>オンナ</t>
    </rPh>
    <phoneticPr fontId="2"/>
  </si>
  <si>
    <t>入力行に自動で罫線を引き、５行おきに線種を変える</t>
    <rPh sb="0" eb="3">
      <t>ニュウリョクギョウ</t>
    </rPh>
    <rPh sb="4" eb="6">
      <t>ジドウ</t>
    </rPh>
    <rPh sb="7" eb="9">
      <t>ケイセン</t>
    </rPh>
    <rPh sb="10" eb="11">
      <t>ヒ</t>
    </rPh>
    <rPh sb="14" eb="15">
      <t>ギョウ</t>
    </rPh>
    <rPh sb="18" eb="20">
      <t>センシュ</t>
    </rPh>
    <rPh sb="21" eb="22">
      <t>カ</t>
    </rPh>
    <phoneticPr fontId="2"/>
  </si>
  <si>
    <t>日程表を土日祝で色分けする</t>
    <rPh sb="0" eb="2">
      <t>ニッテイ</t>
    </rPh>
    <rPh sb="2" eb="3">
      <t>ヒョウ</t>
    </rPh>
    <rPh sb="4" eb="6">
      <t>ドニチ</t>
    </rPh>
    <rPh sb="6" eb="7">
      <t>シュク</t>
    </rPh>
    <rPh sb="8" eb="10">
      <t>イロワ</t>
    </rPh>
    <phoneticPr fontId="2"/>
  </si>
  <si>
    <t>月日</t>
    <rPh sb="0" eb="2">
      <t>ツキヒ</t>
    </rPh>
    <phoneticPr fontId="2"/>
  </si>
  <si>
    <t>曜日</t>
    <rPh sb="0" eb="2">
      <t>ヨウビ</t>
    </rPh>
    <phoneticPr fontId="2"/>
  </si>
  <si>
    <t>スケジュール</t>
    <phoneticPr fontId="2"/>
  </si>
  <si>
    <t>月</t>
  </si>
  <si>
    <t>月</t>
    <rPh sb="0" eb="1">
      <t>ツキ</t>
    </rPh>
    <phoneticPr fontId="2"/>
  </si>
  <si>
    <t>火</t>
  </si>
  <si>
    <t>水</t>
  </si>
  <si>
    <t>木</t>
  </si>
  <si>
    <t>金</t>
  </si>
  <si>
    <t>土</t>
  </si>
  <si>
    <t>日</t>
  </si>
  <si>
    <t>祝日リスト</t>
    <rPh sb="0" eb="2">
      <t>シュクジツ</t>
    </rPh>
    <phoneticPr fontId="2"/>
  </si>
  <si>
    <t>名称</t>
    <rPh sb="0" eb="2">
      <t>メイショウ</t>
    </rPh>
    <phoneticPr fontId="2"/>
  </si>
  <si>
    <t>文化の日</t>
    <rPh sb="0" eb="2">
      <t>ブンカ</t>
    </rPh>
    <rPh sb="3" eb="4">
      <t>ヒ</t>
    </rPh>
    <phoneticPr fontId="2"/>
  </si>
  <si>
    <t>勤労感謝の日</t>
    <rPh sb="0" eb="2">
      <t>キンロウ</t>
    </rPh>
    <rPh sb="2" eb="4">
      <t>カンシャ</t>
    </rPh>
    <rPh sb="5" eb="6">
      <t>ヒ</t>
    </rPh>
    <phoneticPr fontId="2"/>
  </si>
  <si>
    <t>リストボックスの選択と連動して色をつける</t>
    <rPh sb="8" eb="10">
      <t>センタク</t>
    </rPh>
    <rPh sb="11" eb="13">
      <t>レンドウ</t>
    </rPh>
    <rPh sb="15" eb="16">
      <t>イロ</t>
    </rPh>
    <phoneticPr fontId="2"/>
  </si>
  <si>
    <t>日付</t>
    <rPh sb="0" eb="2">
      <t>ヒヅケ</t>
    </rPh>
    <phoneticPr fontId="2"/>
  </si>
  <si>
    <t>注文経路</t>
    <rPh sb="0" eb="4">
      <t>チュウモンケイロ</t>
    </rPh>
    <phoneticPr fontId="2"/>
  </si>
  <si>
    <t>売上高</t>
    <rPh sb="0" eb="3">
      <t>ウリアゲダカ</t>
    </rPh>
    <phoneticPr fontId="2"/>
  </si>
  <si>
    <t>店舗</t>
    <rPh sb="0" eb="2">
      <t>テンポ</t>
    </rPh>
    <phoneticPr fontId="2"/>
  </si>
  <si>
    <t>ネット</t>
    <phoneticPr fontId="2"/>
  </si>
  <si>
    <t>ファックス</t>
    <phoneticPr fontId="2"/>
  </si>
  <si>
    <t>（解除）</t>
    <rPh sb="1" eb="3">
      <t>カイジョ</t>
    </rPh>
    <phoneticPr fontId="2"/>
  </si>
  <si>
    <t>チェックボックスと連動して色をつける</t>
    <rPh sb="9" eb="11">
      <t>レンドウ</t>
    </rPh>
    <rPh sb="13" eb="14">
      <t>イロ</t>
    </rPh>
    <phoneticPr fontId="2"/>
  </si>
  <si>
    <t>会員種別</t>
    <rPh sb="0" eb="2">
      <t>カイイン</t>
    </rPh>
    <rPh sb="2" eb="4">
      <t>シュベツ</t>
    </rPh>
    <phoneticPr fontId="2"/>
  </si>
  <si>
    <t>蛯名　宗一</t>
    <rPh sb="0" eb="2">
      <t>エビナ</t>
    </rPh>
    <rPh sb="3" eb="5">
      <t>ソウイチ</t>
    </rPh>
    <phoneticPr fontId="2"/>
  </si>
  <si>
    <t>山口　元也</t>
    <rPh sb="0" eb="2">
      <t>ヤマグチ</t>
    </rPh>
    <rPh sb="3" eb="5">
      <t>モトヤ</t>
    </rPh>
    <phoneticPr fontId="2"/>
  </si>
  <si>
    <t>三戸部　隆</t>
    <rPh sb="0" eb="3">
      <t>ミトベ</t>
    </rPh>
    <rPh sb="4" eb="5">
      <t>タカシ</t>
    </rPh>
    <phoneticPr fontId="2"/>
  </si>
  <si>
    <t>ゴールド</t>
    <phoneticPr fontId="2"/>
  </si>
  <si>
    <t>ブロンズ</t>
    <phoneticPr fontId="2"/>
  </si>
  <si>
    <t>シルバー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</si>
</sst>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.#"/>
    <numFmt numFmtId="177" formatCode="#,###"/>
    <numFmt numFmtId="178" formatCode="#,##0,,"/>
    <numFmt numFmtId="179" formatCode="0.??"/>
    <numFmt numFmtId="180" formatCode="[Blue]0;[Red]\-0;[Black]0"/>
    <numFmt numFmtId="181" formatCode="[Blue][&gt;=80]0;[Red][&lt;=40]0;[Black]0"/>
    <numFmt numFmtId="182" formatCode="0\_x000a_&quot;日&quot;"/>
    <numFmt numFmtId="183" formatCode="m&quot;月&quot;d&quot;日&quot;;@"/>
    <numFmt numFmtId="187" formatCode="#,##0_ "/>
  </numFmts>
  <fonts count="9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メイリオ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9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1" fillId="2" borderId="1" xfId="0" applyFont="1" applyFill="1" applyBorder="1" applyAlignment="1">
      <alignment horizont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49" fontId="0" fillId="0" borderId="1" xfId="0" applyNumberFormat="1" applyBorder="1" applyAlignment="1">
      <alignment horizontal="left" vertical="center" wrapText="1"/>
    </xf>
    <xf numFmtId="176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left" vertical="center"/>
    </xf>
    <xf numFmtId="177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>
      <alignment vertical="center"/>
    </xf>
    <xf numFmtId="180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182" fontId="0" fillId="0" borderId="1" xfId="0" applyNumberFormat="1" applyBorder="1" applyAlignment="1">
      <alignment vertical="center" wrapText="1"/>
    </xf>
    <xf numFmtId="0" fontId="0" fillId="0" borderId="1" xfId="0" applyBorder="1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  <xf numFmtId="0" fontId="1" fillId="2" borderId="5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183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56" fontId="0" fillId="0" borderId="0" xfId="0" applyNumberFormat="1">
      <alignment vertical="center"/>
    </xf>
    <xf numFmtId="5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49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87" fontId="0" fillId="0" borderId="1" xfId="0" applyNumberFormat="1" applyBorder="1">
      <alignment vertical="center"/>
    </xf>
  </cellXfs>
  <cellStyles count="1">
    <cellStyle name="標準" xfId="0" builtinId="0"/>
  </cellStyles>
  <dxfs count="13"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bottom style="thin">
          <color auto="1"/>
        </bottom>
        <vertical/>
        <horizontal/>
      </border>
    </dxf>
    <dxf>
      <border>
        <bottom style="dotted">
          <color auto="1"/>
        </bottom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fmlaLink="$B$2" max="120" page="10" val="32"/>
</file>

<file path=xl/ctrlProps/ctrlProp2.xml><?xml version="1.0" encoding="utf-8"?>
<formControlPr xmlns="http://schemas.microsoft.com/office/spreadsheetml/2009/9/main" objectType="CheckBox" checked="Checked" fmlaLink="$D$4" lockText="1" noThreeD="1"/>
</file>

<file path=xl/ctrlProps/ctrlProp3.xml><?xml version="1.0" encoding="utf-8"?>
<formControlPr xmlns="http://schemas.microsoft.com/office/spreadsheetml/2009/9/main" objectType="Radio" checked="Checked" firstButton="1" fmlaLink="$E$6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ist" dx="22" fmlaLink="$E$8" fmlaRange="$I$2:$I$5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H$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$H$6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CheckBox" fmlaLink="$H$9" lockText="1" noThreeD="1"/>
</file>

<file path=xl/ctrlProps/ctrlProp16.xml><?xml version="1.0" encoding="utf-8"?>
<formControlPr xmlns="http://schemas.microsoft.com/office/spreadsheetml/2009/9/main" objectType="CheckBox" fmlaLink="$H$10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ist" dx="22" fmlaLink="$F$7" fmlaRange="$F$2:$F$5" noThreeD="1" sel="3" val="0"/>
</file>

<file path=xl/ctrlProps/ctrlProp19.xml><?xml version="1.0" encoding="utf-8"?>
<formControlPr xmlns="http://schemas.microsoft.com/office/spreadsheetml/2009/9/main" objectType="CheckBox" checked="Checked" fmlaLink="$N$2" lockText="1" noThreeD="1"/>
</file>

<file path=xl/ctrlProps/ctrlProp20.xml><?xml version="1.0" encoding="utf-8"?>
<formControlPr xmlns="http://schemas.microsoft.com/office/spreadsheetml/2009/9/main" objectType="CheckBox" fmlaLink="$N$3" lockText="1" noThreeD="1"/>
</file>

<file path=xl/ctrlProps/ctrlProp21.xml><?xml version="1.0" encoding="utf-8"?>
<formControlPr xmlns="http://schemas.microsoft.com/office/spreadsheetml/2009/9/main" objectType="CheckBox" fmlaLink="$N$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28575</xdr:rowOff>
    </xdr:from>
    <xdr:to>
      <xdr:col>9</xdr:col>
      <xdr:colOff>876299</xdr:colOff>
      <xdr:row>5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96024" y="504825"/>
          <a:ext cx="3590925" cy="8858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228600</xdr:colOff>
      <xdr:row>2</xdr:row>
      <xdr:rowOff>0</xdr:rowOff>
    </xdr:from>
    <xdr:to>
      <xdr:col>14</xdr:col>
      <xdr:colOff>257175</xdr:colOff>
      <xdr:row>4</xdr:row>
      <xdr:rowOff>219075</xdr:rowOff>
    </xdr:to>
    <xdr:sp macro="" textlink="">
      <xdr:nvSpPr>
        <xdr:cNvPr id="3" name="吹き出し: 線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25175" y="476250"/>
          <a:ext cx="2314575" cy="695325"/>
        </a:xfrm>
        <a:prstGeom prst="borderCallout1">
          <a:avLst>
            <a:gd name="adj1" fmla="val 18750"/>
            <a:gd name="adj2" fmla="val -3806"/>
            <a:gd name="adj3" fmla="val 49943"/>
            <a:gd name="adj4" fmla="val -39533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縦の列単位の所属課群を所属部の名称で名前として設定しておく</a:t>
          </a:r>
        </a:p>
      </xdr:txBody>
    </xdr:sp>
    <xdr:clientData/>
  </xdr:twoCellAnchor>
  <xdr:twoCellAnchor>
    <xdr:from>
      <xdr:col>4</xdr:col>
      <xdr:colOff>19050</xdr:colOff>
      <xdr:row>2</xdr:row>
      <xdr:rowOff>9525</xdr:rowOff>
    </xdr:from>
    <xdr:to>
      <xdr:col>5</xdr:col>
      <xdr:colOff>1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400550" y="485775"/>
          <a:ext cx="1076326" cy="23717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390525</xdr:colOff>
      <xdr:row>9</xdr:row>
      <xdr:rowOff>180975</xdr:rowOff>
    </xdr:from>
    <xdr:to>
      <xdr:col>9</xdr:col>
      <xdr:colOff>390525</xdr:colOff>
      <xdr:row>13</xdr:row>
      <xdr:rowOff>66675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29400" y="2324100"/>
          <a:ext cx="2771775" cy="838200"/>
        </a:xfrm>
        <a:prstGeom prst="borderCallout1">
          <a:avLst>
            <a:gd name="adj1" fmla="val 18750"/>
            <a:gd name="adj2" fmla="val -3806"/>
            <a:gd name="adj3" fmla="val -9225"/>
            <a:gd name="adj4" fmla="val -371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データ入力規則で所属部に応じたリスト選択になるようにしている</a:t>
          </a:r>
          <a:endParaRPr kumimoji="1" lang="en-US" altLang="ja-JP" sz="1100"/>
        </a:p>
        <a:p>
          <a:pPr algn="l"/>
          <a:r>
            <a:rPr kumimoji="1" lang="ja-JP" altLang="en-US" sz="1100"/>
            <a:t>⇒ </a:t>
          </a:r>
          <a:r>
            <a:rPr kumimoji="1" lang="en-US" altLang="ja-JP" sz="1100"/>
            <a:t>"=INDIRECT(D</a:t>
          </a:r>
          <a:r>
            <a:rPr kumimoji="1" lang="ja-JP" altLang="en-US" sz="1100"/>
            <a:t>列の同行セル</a:t>
          </a:r>
          <a:r>
            <a:rPr kumimoji="1" lang="en-US" altLang="ja-JP" sz="1100"/>
            <a:t>)"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2</xdr:col>
          <xdr:colOff>200025</xdr:colOff>
          <xdr:row>2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247650</xdr:colOff>
          <xdr:row>4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142875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8</xdr:row>
          <xdr:rowOff>238125</xdr:rowOff>
        </xdr:to>
        <xdr:sp macro="" textlink="">
          <xdr:nvSpPr>
            <xdr:cNvPr id="3078" name="List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104775</xdr:rowOff>
        </xdr:from>
        <xdr:to>
          <xdr:col>3</xdr:col>
          <xdr:colOff>0</xdr:colOff>
          <xdr:row>3</xdr:row>
          <xdr:rowOff>76200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0</xdr:colOff>
          <xdr:row>3</xdr:row>
          <xdr:rowOff>9525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85725</xdr:rowOff>
        </xdr:from>
        <xdr:to>
          <xdr:col>5</xdr:col>
          <xdr:colOff>0</xdr:colOff>
          <xdr:row>6</xdr:row>
          <xdr:rowOff>104775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年代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9525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50代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8</xdr:row>
          <xdr:rowOff>0</xdr:rowOff>
        </xdr:from>
        <xdr:to>
          <xdr:col>3</xdr:col>
          <xdr:colOff>390525</xdr:colOff>
          <xdr:row>9</xdr:row>
          <xdr:rowOff>9525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フリマアプリで購入したことがある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390525</xdr:colOff>
          <xdr:row>10</xdr:row>
          <xdr:rowOff>9525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フリマアプリで出品したことがある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0</xdr:row>
          <xdr:rowOff>95250</xdr:rowOff>
        </xdr:from>
        <xdr:to>
          <xdr:col>4</xdr:col>
          <xdr:colOff>485775</xdr:colOff>
          <xdr:row>1</xdr:row>
          <xdr:rowOff>200025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回答登録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</xdr:row>
          <xdr:rowOff>1</xdr:rowOff>
        </xdr:from>
        <xdr:to>
          <xdr:col>4</xdr:col>
          <xdr:colOff>590550</xdr:colOff>
          <xdr:row>4</xdr:row>
          <xdr:rowOff>104775</xdr:rowOff>
        </xdr:to>
        <xdr:sp macro="" textlink="">
          <xdr:nvSpPr>
            <xdr:cNvPr id="5121" name="List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ゴールド会員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9525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1ADE750D-B44D-42DB-BA69-2C1CA5418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シルバー会員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4</xdr:row>
          <xdr:rowOff>9525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D68D4EE5-2622-4B37-A541-0725081EC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ブロンズ会員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EFB8B-7FAD-4A56-BFDE-A33A0588E6CD}">
  <sheetPr codeName="Sheet1"/>
  <dimension ref="A1:B7"/>
  <sheetViews>
    <sheetView showGridLines="0" workbookViewId="0">
      <selection activeCell="A9" sqref="A9"/>
    </sheetView>
  </sheetViews>
  <sheetFormatPr defaultRowHeight="18.75"/>
  <cols>
    <col min="1" max="1" width="13.6640625" customWidth="1"/>
    <col min="2" max="2" width="23.33203125" customWidth="1"/>
  </cols>
  <sheetData>
    <row r="1" spans="1:2">
      <c r="A1" s="4" t="s">
        <v>10</v>
      </c>
    </row>
    <row r="3" spans="1:2">
      <c r="A3" s="2" t="s">
        <v>3</v>
      </c>
      <c r="B3" s="1" t="s">
        <v>5</v>
      </c>
    </row>
    <row r="4" spans="1:2">
      <c r="A4" s="3" t="s">
        <v>0</v>
      </c>
      <c r="B4" s="1" t="s">
        <v>6</v>
      </c>
    </row>
    <row r="5" spans="1:2">
      <c r="A5" s="3" t="s">
        <v>1</v>
      </c>
      <c r="B5" s="1" t="s">
        <v>7</v>
      </c>
    </row>
    <row r="6" spans="1:2">
      <c r="A6" s="3" t="s">
        <v>2</v>
      </c>
      <c r="B6" s="1" t="s">
        <v>8</v>
      </c>
    </row>
    <row r="7" spans="1:2">
      <c r="A7" s="3" t="s">
        <v>4</v>
      </c>
      <c r="B7" s="1" t="s">
        <v>9</v>
      </c>
    </row>
  </sheetData>
  <phoneticPr fontId="2"/>
  <dataValidations count="5">
    <dataValidation imeMode="hiragana" allowBlank="1" showInputMessage="1" showErrorMessage="1" sqref="B3" xr:uid="{65F4F180-AD74-43A0-A466-57673AD88F5B}"/>
    <dataValidation imeMode="halfAlpha" allowBlank="1" showInputMessage="1" showErrorMessage="1" sqref="B7" xr:uid="{BA7CB8D3-D389-45C9-BB45-0CFDC0110868}"/>
    <dataValidation imeMode="fullKatakana" allowBlank="1" showInputMessage="1" showErrorMessage="1" sqref="B4" xr:uid="{AD7905E3-A7D1-4DC7-AD7C-C336E2A5C0B0}"/>
    <dataValidation imeMode="halfKatakana" allowBlank="1" showInputMessage="1" showErrorMessage="1" sqref="B5" xr:uid="{C4426096-ABA9-4AC8-9B7F-884878DDD875}"/>
    <dataValidation imeMode="fullAlpha" allowBlank="1" showInputMessage="1" showErrorMessage="1" sqref="B6" xr:uid="{5B138588-3AE9-46B5-9FAC-C45B8D0C83A0}"/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8271-5922-4BAF-9EEE-27F02F397C4F}">
  <sheetPr codeName="Sheet2"/>
  <dimension ref="A1:J12"/>
  <sheetViews>
    <sheetView showGridLines="0" workbookViewId="0">
      <selection activeCell="C15" sqref="C15"/>
    </sheetView>
  </sheetViews>
  <sheetFormatPr defaultRowHeight="18.75"/>
  <cols>
    <col min="1" max="5" width="12.77734375" customWidth="1"/>
    <col min="7" max="10" width="10.77734375" customWidth="1"/>
  </cols>
  <sheetData>
    <row r="1" spans="1:10">
      <c r="A1" s="4" t="s">
        <v>11</v>
      </c>
      <c r="G1" s="4" t="s">
        <v>17</v>
      </c>
    </row>
    <row r="2" spans="1:10">
      <c r="A2" s="5" t="s">
        <v>12</v>
      </c>
      <c r="B2" s="5" t="s">
        <v>13</v>
      </c>
      <c r="C2" s="5" t="s">
        <v>14</v>
      </c>
      <c r="D2" s="5" t="s">
        <v>15</v>
      </c>
      <c r="E2" s="5" t="s">
        <v>16</v>
      </c>
      <c r="G2" s="5" t="s">
        <v>18</v>
      </c>
      <c r="H2" s="5" t="s">
        <v>22</v>
      </c>
      <c r="I2" s="5" t="s">
        <v>25</v>
      </c>
      <c r="J2" s="5" t="s">
        <v>29</v>
      </c>
    </row>
    <row r="3" spans="1:10">
      <c r="A3" s="1"/>
      <c r="B3" s="1"/>
      <c r="C3" s="1"/>
      <c r="D3" s="1" t="s">
        <v>18</v>
      </c>
      <c r="E3" s="1" t="s">
        <v>20</v>
      </c>
      <c r="G3" s="1" t="s">
        <v>19</v>
      </c>
      <c r="H3" s="1" t="s">
        <v>23</v>
      </c>
      <c r="I3" s="1" t="s">
        <v>26</v>
      </c>
      <c r="J3" s="1" t="s">
        <v>31</v>
      </c>
    </row>
    <row r="4" spans="1:10">
      <c r="A4" s="1"/>
      <c r="B4" s="1"/>
      <c r="C4" s="1"/>
      <c r="D4" s="1" t="s">
        <v>29</v>
      </c>
      <c r="E4" s="1" t="s">
        <v>32</v>
      </c>
      <c r="G4" s="1" t="s">
        <v>20</v>
      </c>
      <c r="H4" s="1" t="s">
        <v>24</v>
      </c>
      <c r="I4" s="1" t="s">
        <v>27</v>
      </c>
      <c r="J4" s="1" t="s">
        <v>32</v>
      </c>
    </row>
    <row r="5" spans="1:10">
      <c r="A5" s="1"/>
      <c r="B5" s="1"/>
      <c r="C5" s="1"/>
      <c r="D5" s="1"/>
      <c r="E5" s="1"/>
      <c r="G5" s="1" t="s">
        <v>21</v>
      </c>
      <c r="H5" s="1"/>
      <c r="I5" s="1" t="s">
        <v>28</v>
      </c>
      <c r="J5" s="1" t="s">
        <v>33</v>
      </c>
    </row>
    <row r="6" spans="1:10">
      <c r="A6" s="1"/>
      <c r="B6" s="1"/>
      <c r="C6" s="1"/>
      <c r="D6" s="1"/>
      <c r="E6" s="1"/>
      <c r="G6" s="1"/>
      <c r="H6" s="1"/>
      <c r="I6" s="1" t="s">
        <v>30</v>
      </c>
      <c r="J6" s="1"/>
    </row>
    <row r="7" spans="1:10">
      <c r="A7" s="1"/>
      <c r="B7" s="1"/>
      <c r="C7" s="1"/>
      <c r="D7" s="1"/>
      <c r="E7" s="1"/>
    </row>
    <row r="8" spans="1:10">
      <c r="A8" s="1"/>
      <c r="B8" s="1"/>
      <c r="C8" s="1"/>
      <c r="D8" s="1"/>
      <c r="E8" s="1"/>
    </row>
    <row r="9" spans="1:10">
      <c r="A9" s="1"/>
      <c r="B9" s="1"/>
      <c r="C9" s="1"/>
      <c r="D9" s="1"/>
      <c r="E9" s="1"/>
    </row>
    <row r="10" spans="1:10">
      <c r="A10" s="1"/>
      <c r="B10" s="1"/>
      <c r="C10" s="1"/>
      <c r="D10" s="1"/>
      <c r="E10" s="1"/>
    </row>
    <row r="11" spans="1:10">
      <c r="A11" s="1"/>
      <c r="B11" s="1"/>
      <c r="C11" s="1"/>
      <c r="D11" s="1"/>
      <c r="E11" s="1"/>
    </row>
    <row r="12" spans="1:10">
      <c r="A12" s="1"/>
      <c r="B12" s="1"/>
      <c r="C12" s="1"/>
      <c r="D12" s="1"/>
      <c r="E12" s="1"/>
    </row>
  </sheetData>
  <phoneticPr fontId="2"/>
  <dataValidations count="2">
    <dataValidation type="list" allowBlank="1" showInputMessage="1" showErrorMessage="1" sqref="D3:D1048576" xr:uid="{EF21DC0C-B739-4054-A412-44C40E334DD6}">
      <formula1>$G$2:$J$2</formula1>
    </dataValidation>
    <dataValidation type="list" allowBlank="1" showInputMessage="1" showErrorMessage="1" sqref="E3:E1048576" xr:uid="{5579F75A-9827-47C2-9673-9897927FE3BD}">
      <formula1>INDIRECT(D3)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5DF4-3882-41E4-8850-E90014C2541E}">
  <sheetPr codeName="Sheet3"/>
  <dimension ref="A1:I9"/>
  <sheetViews>
    <sheetView showGridLines="0" workbookViewId="0">
      <selection activeCell="B6" sqref="B6"/>
    </sheetView>
  </sheetViews>
  <sheetFormatPr defaultRowHeight="18.75"/>
  <cols>
    <col min="1" max="1" width="14.88671875" customWidth="1"/>
    <col min="2" max="2" width="17.77734375" customWidth="1"/>
    <col min="9" max="9" width="18.5546875" customWidth="1"/>
  </cols>
  <sheetData>
    <row r="1" spans="1:9">
      <c r="I1" s="5" t="s">
        <v>39</v>
      </c>
    </row>
    <row r="2" spans="1:9">
      <c r="A2" s="2" t="s">
        <v>34</v>
      </c>
      <c r="B2" s="1">
        <v>32</v>
      </c>
      <c r="C2" s="6"/>
      <c r="D2" s="6"/>
      <c r="I2" s="1" t="s">
        <v>36</v>
      </c>
    </row>
    <row r="3" spans="1:9">
      <c r="A3" s="8"/>
      <c r="B3" s="8"/>
      <c r="C3" s="7"/>
      <c r="D3" s="7"/>
      <c r="I3" s="1" t="s">
        <v>37</v>
      </c>
    </row>
    <row r="4" spans="1:9">
      <c r="A4" s="3" t="s">
        <v>35</v>
      </c>
      <c r="B4" s="1" t="str">
        <f>IF(D4, "有", "無")</f>
        <v>有</v>
      </c>
      <c r="C4" s="1"/>
      <c r="D4" s="1" t="b">
        <v>1</v>
      </c>
      <c r="I4" s="1" t="s">
        <v>38</v>
      </c>
    </row>
    <row r="5" spans="1:9">
      <c r="A5" s="8"/>
      <c r="B5" s="8"/>
      <c r="C5" s="10"/>
      <c r="D5" s="10"/>
      <c r="I5" s="1" t="s">
        <v>40</v>
      </c>
    </row>
    <row r="6" spans="1:9">
      <c r="A6" s="3" t="s">
        <v>41</v>
      </c>
      <c r="B6" s="11" t="str">
        <f>CHOOSE(E6, "男性", "女性")</f>
        <v>男性</v>
      </c>
      <c r="C6" s="6"/>
      <c r="D6" s="6"/>
      <c r="E6">
        <v>1</v>
      </c>
    </row>
    <row r="7" spans="1:9">
      <c r="A7" s="8"/>
      <c r="B7" s="8"/>
      <c r="C7" s="7"/>
      <c r="D7" s="7"/>
    </row>
    <row r="8" spans="1:9">
      <c r="A8" s="3" t="s">
        <v>39</v>
      </c>
      <c r="B8" s="1" t="str">
        <f>IF(E8=0,"",INDEX(I2:I5,E8))</f>
        <v>丸の内本社</v>
      </c>
      <c r="C8" s="1"/>
      <c r="D8" s="1"/>
      <c r="E8">
        <v>1</v>
      </c>
    </row>
    <row r="9" spans="1:9">
      <c r="A9" s="10"/>
      <c r="B9" s="10"/>
      <c r="C9" s="9"/>
      <c r="D9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2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247650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Group Box 5">
              <controlPr defaultSize="0" autoFill="0" autoPict="0">
                <anchor moveWithCells="1">
                  <from>
                    <xdr:col>2</xdr:col>
                    <xdr:colOff>0</xdr:colOff>
                    <xdr:row>4</xdr:row>
                    <xdr:rowOff>142875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List Box 6">
              <controlPr defaultSize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10CE0-2D56-4805-A771-1393F7D8EB67}">
  <sheetPr codeName="Sheet4"/>
  <dimension ref="A1:O28"/>
  <sheetViews>
    <sheetView showGridLines="0" workbookViewId="0"/>
  </sheetViews>
  <sheetFormatPr defaultRowHeight="18.75"/>
  <cols>
    <col min="1" max="1" width="4.44140625" customWidth="1"/>
    <col min="6" max="6" width="3.44140625" customWidth="1"/>
    <col min="7" max="7" width="2" customWidth="1"/>
  </cols>
  <sheetData>
    <row r="1" spans="1:15">
      <c r="A1" s="12" t="s">
        <v>42</v>
      </c>
      <c r="B1" s="13"/>
      <c r="C1" s="13"/>
      <c r="D1" s="13"/>
      <c r="E1" s="13"/>
      <c r="F1" s="13"/>
      <c r="L1" s="5" t="s">
        <v>43</v>
      </c>
      <c r="M1" s="5" t="s">
        <v>44</v>
      </c>
      <c r="N1" s="5" t="s">
        <v>45</v>
      </c>
      <c r="O1" s="5" t="s">
        <v>46</v>
      </c>
    </row>
    <row r="2" spans="1:15">
      <c r="A2" s="13"/>
      <c r="B2" s="13"/>
      <c r="C2" s="13"/>
      <c r="D2" s="13"/>
      <c r="E2" s="13"/>
      <c r="F2" s="13"/>
      <c r="L2" s="1" t="s">
        <v>47</v>
      </c>
      <c r="M2" s="1" t="s">
        <v>48</v>
      </c>
      <c r="N2" s="1" t="s">
        <v>49</v>
      </c>
      <c r="O2" s="1" t="s">
        <v>49</v>
      </c>
    </row>
    <row r="3" spans="1:15">
      <c r="A3" s="13" t="s">
        <v>43</v>
      </c>
      <c r="B3" s="13"/>
      <c r="C3" s="13"/>
      <c r="D3" s="13"/>
      <c r="E3" s="13"/>
      <c r="F3" s="13"/>
      <c r="H3">
        <v>1</v>
      </c>
      <c r="I3" t="str">
        <f>CHOOSE(H3+1, "", "男", "女")</f>
        <v>男</v>
      </c>
      <c r="L3" s="1" t="s">
        <v>50</v>
      </c>
      <c r="M3" s="1" t="s">
        <v>51</v>
      </c>
      <c r="N3" s="1" t="s">
        <v>52</v>
      </c>
      <c r="O3" s="1" t="s">
        <v>49</v>
      </c>
    </row>
    <row r="4" spans="1:15">
      <c r="A4" s="13"/>
      <c r="B4" s="13"/>
      <c r="C4" s="13"/>
      <c r="D4" s="13"/>
      <c r="E4" s="13"/>
      <c r="F4" s="13"/>
      <c r="L4" s="1" t="s">
        <v>50</v>
      </c>
      <c r="M4" s="1" t="s">
        <v>53</v>
      </c>
      <c r="N4" s="1" t="s">
        <v>52</v>
      </c>
      <c r="O4" s="1" t="s">
        <v>52</v>
      </c>
    </row>
    <row r="5" spans="1:15">
      <c r="A5" s="13"/>
      <c r="B5" s="13"/>
      <c r="C5" s="13"/>
      <c r="D5" s="13"/>
      <c r="E5" s="13"/>
      <c r="F5" s="13"/>
      <c r="L5" s="1" t="s">
        <v>47</v>
      </c>
      <c r="M5" s="1" t="s">
        <v>54</v>
      </c>
      <c r="N5" s="1" t="s">
        <v>49</v>
      </c>
      <c r="O5" s="1" t="s">
        <v>52</v>
      </c>
    </row>
    <row r="6" spans="1:15">
      <c r="A6" s="13" t="s">
        <v>44</v>
      </c>
      <c r="B6" s="13"/>
      <c r="C6" s="13"/>
      <c r="D6" s="13"/>
      <c r="E6" s="13"/>
      <c r="F6" s="13"/>
      <c r="H6">
        <v>3</v>
      </c>
      <c r="I6" t="str">
        <f>CHOOSE(H6+1, "", "20代", "30代", "40代", "50代")</f>
        <v>40代</v>
      </c>
      <c r="L6" s="1" t="s">
        <v>47</v>
      </c>
      <c r="M6" s="1" t="s">
        <v>51</v>
      </c>
      <c r="N6" s="1" t="s">
        <v>52</v>
      </c>
      <c r="O6" s="1" t="s">
        <v>49</v>
      </c>
    </row>
    <row r="7" spans="1:15">
      <c r="A7" s="13"/>
      <c r="B7" s="13"/>
      <c r="C7" s="13"/>
      <c r="D7" s="13"/>
      <c r="E7" s="13"/>
      <c r="F7" s="13"/>
      <c r="L7" s="1" t="s">
        <v>50</v>
      </c>
      <c r="M7" s="1" t="s">
        <v>53</v>
      </c>
      <c r="N7" s="1" t="s">
        <v>52</v>
      </c>
      <c r="O7" s="1" t="s">
        <v>52</v>
      </c>
    </row>
    <row r="8" spans="1:15">
      <c r="A8" s="13"/>
      <c r="B8" s="13"/>
      <c r="C8" s="13"/>
      <c r="D8" s="13"/>
      <c r="E8" s="13"/>
      <c r="F8" s="13"/>
      <c r="L8" s="1"/>
      <c r="M8" s="1"/>
      <c r="N8" s="1"/>
      <c r="O8" s="1"/>
    </row>
    <row r="9" spans="1:15">
      <c r="A9" s="13" t="s">
        <v>45</v>
      </c>
      <c r="B9" s="13"/>
      <c r="C9" s="13"/>
      <c r="D9" s="13"/>
      <c r="E9" s="13"/>
      <c r="F9" s="13"/>
      <c r="H9" t="b">
        <v>0</v>
      </c>
      <c r="I9" t="str">
        <f>IF(ISNA(H9), "", IF(H9, "はい", "いいえ"))</f>
        <v>いいえ</v>
      </c>
      <c r="L9" s="1"/>
      <c r="M9" s="1"/>
      <c r="N9" s="1"/>
      <c r="O9" s="1"/>
    </row>
    <row r="10" spans="1:15">
      <c r="A10" s="13" t="s">
        <v>46</v>
      </c>
      <c r="B10" s="13"/>
      <c r="C10" s="13"/>
      <c r="D10" s="13"/>
      <c r="E10" s="13"/>
      <c r="F10" s="13"/>
      <c r="H10" t="b">
        <v>0</v>
      </c>
      <c r="I10" t="str">
        <f>IF(ISNA(H10), "", IF(H10, "はい", "いいえ"))</f>
        <v>いいえ</v>
      </c>
      <c r="L10" s="1"/>
      <c r="M10" s="1"/>
      <c r="N10" s="1"/>
      <c r="O10" s="1"/>
    </row>
    <row r="11" spans="1:15">
      <c r="A11" s="13"/>
      <c r="B11" s="13"/>
      <c r="C11" s="13"/>
      <c r="D11" s="13"/>
      <c r="E11" s="13"/>
      <c r="F11" s="13"/>
      <c r="L11" s="1"/>
      <c r="M11" s="1"/>
      <c r="N11" s="1"/>
      <c r="O11" s="1"/>
    </row>
    <row r="12" spans="1:15">
      <c r="L12" s="1"/>
      <c r="M12" s="1"/>
      <c r="N12" s="1"/>
      <c r="O12" s="1"/>
    </row>
    <row r="13" spans="1:15">
      <c r="L13" s="1"/>
      <c r="M13" s="1"/>
      <c r="N13" s="1"/>
      <c r="O13" s="1"/>
    </row>
    <row r="14" spans="1:15">
      <c r="L14" s="1"/>
      <c r="M14" s="1"/>
      <c r="N14" s="1"/>
      <c r="O14" s="1"/>
    </row>
    <row r="15" spans="1:15">
      <c r="L15" s="1"/>
      <c r="M15" s="1"/>
      <c r="N15" s="1"/>
      <c r="O15" s="1"/>
    </row>
    <row r="16" spans="1:15">
      <c r="L16" s="1"/>
      <c r="M16" s="1"/>
      <c r="N16" s="1"/>
      <c r="O16" s="1"/>
    </row>
    <row r="17" spans="12:15">
      <c r="L17" s="1"/>
      <c r="M17" s="1"/>
      <c r="N17" s="1"/>
      <c r="O17" s="1"/>
    </row>
    <row r="18" spans="12:15">
      <c r="L18" s="1"/>
      <c r="M18" s="1"/>
      <c r="N18" s="1"/>
      <c r="O18" s="1"/>
    </row>
    <row r="19" spans="12:15">
      <c r="L19" s="1"/>
      <c r="M19" s="1"/>
      <c r="N19" s="1"/>
      <c r="O19" s="1"/>
    </row>
    <row r="20" spans="12:15">
      <c r="L20" s="1"/>
      <c r="M20" s="1"/>
      <c r="N20" s="1"/>
      <c r="O20" s="1"/>
    </row>
    <row r="21" spans="12:15">
      <c r="L21" s="1"/>
      <c r="M21" s="1"/>
      <c r="N21" s="1"/>
      <c r="O21" s="1"/>
    </row>
    <row r="22" spans="12:15">
      <c r="L22" s="1"/>
      <c r="M22" s="1"/>
      <c r="N22" s="1"/>
      <c r="O22" s="1"/>
    </row>
    <row r="23" spans="12:15">
      <c r="L23" s="1"/>
      <c r="M23" s="1"/>
      <c r="N23" s="1"/>
      <c r="O23" s="1"/>
    </row>
    <row r="24" spans="12:15">
      <c r="L24" s="1"/>
      <c r="M24" s="1"/>
      <c r="N24" s="1"/>
      <c r="O24" s="1"/>
    </row>
    <row r="25" spans="12:15">
      <c r="L25" s="1"/>
      <c r="M25" s="1"/>
      <c r="N25" s="1"/>
      <c r="O25" s="1"/>
    </row>
    <row r="26" spans="12:15">
      <c r="L26" s="1"/>
      <c r="M26" s="1"/>
      <c r="N26" s="1"/>
      <c r="O26" s="1"/>
    </row>
    <row r="27" spans="12:15">
      <c r="L27" s="1"/>
      <c r="M27" s="1"/>
      <c r="N27" s="1"/>
      <c r="O27" s="1"/>
    </row>
    <row r="28" spans="12:15">
      <c r="L28" s="1"/>
      <c r="M28" s="1"/>
      <c r="N28" s="1"/>
      <c r="O28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1</xdr:row>
                    <xdr:rowOff>104775</xdr:rowOff>
                  </from>
                  <to>
                    <xdr:col>3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Group Box 4">
              <controlPr defaultSize="0" autoFill="0" autoPict="0">
                <anchor moveWithCells="1">
                  <from>
                    <xdr:col>1</xdr:col>
                    <xdr:colOff>0</xdr:colOff>
                    <xdr:row>4</xdr:row>
                    <xdr:rowOff>85725</xdr:rowOff>
                  </from>
                  <to>
                    <xdr:col>5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Option Button 5">
              <controlPr defaultSize="0" autoFill="0" autoLine="0" autoPict="0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Option Button 6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Option Button 7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Option Button 8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Check Box 9">
              <controlPr defaultSize="0" autoFill="0" autoLine="0" autoPict="0">
                <anchor moveWithCells="1">
                  <from>
                    <xdr:col>0</xdr:col>
                    <xdr:colOff>381000</xdr:colOff>
                    <xdr:row>8</xdr:row>
                    <xdr:rowOff>0</xdr:rowOff>
                  </from>
                  <to>
                    <xdr:col>3</xdr:col>
                    <xdr:colOff>390525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Check Box 10">
              <controlPr defaultSize="0" autoFill="0" autoLine="0" autoPict="0">
                <anchor mov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print="0" autoFill="0" autoPict="0" macro="[0]!アンケート回答登録">
                <anchor moveWithCells="1" sizeWithCells="1">
                  <from>
                    <xdr:col>3</xdr:col>
                    <xdr:colOff>333375</xdr:colOff>
                    <xdr:row>0</xdr:row>
                    <xdr:rowOff>95250</xdr:rowOff>
                  </from>
                  <to>
                    <xdr:col>4</xdr:col>
                    <xdr:colOff>485775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EBB-E0C3-40D8-8B90-79529E4DF897}">
  <sheetPr codeName="Sheet5"/>
  <dimension ref="A1:D18"/>
  <sheetViews>
    <sheetView showGridLines="0" workbookViewId="0"/>
  </sheetViews>
  <sheetFormatPr defaultRowHeight="18.75"/>
  <cols>
    <col min="1" max="1" width="31.88671875" customWidth="1"/>
    <col min="2" max="2" width="17.6640625" customWidth="1"/>
    <col min="3" max="3" width="19.6640625" customWidth="1"/>
    <col min="4" max="4" width="50.5546875" customWidth="1"/>
  </cols>
  <sheetData>
    <row r="1" spans="1:4">
      <c r="A1" s="23" t="s">
        <v>55</v>
      </c>
      <c r="B1" s="23" t="s">
        <v>56</v>
      </c>
      <c r="C1" s="23" t="s">
        <v>57</v>
      </c>
      <c r="D1" s="23" t="s">
        <v>58</v>
      </c>
    </row>
    <row r="2" spans="1:4" ht="27.95" customHeight="1">
      <c r="A2" s="14" t="s">
        <v>62</v>
      </c>
      <c r="B2" s="1">
        <v>1234.56</v>
      </c>
      <c r="C2" s="15">
        <f>B2</f>
        <v>1234.56</v>
      </c>
      <c r="D2" s="40" t="s">
        <v>61</v>
      </c>
    </row>
    <row r="3" spans="1:4" ht="27.95" customHeight="1">
      <c r="A3" s="16" t="s">
        <v>60</v>
      </c>
      <c r="B3" s="1">
        <v>1234.56</v>
      </c>
      <c r="C3" s="15">
        <f>B3</f>
        <v>1234.56</v>
      </c>
      <c r="D3" s="40"/>
    </row>
    <row r="4" spans="1:4" ht="27.95" customHeight="1">
      <c r="A4" s="16" t="s">
        <v>59</v>
      </c>
      <c r="B4" s="1">
        <v>1234.56</v>
      </c>
      <c r="C4" s="15">
        <f>B4</f>
        <v>1234.56</v>
      </c>
      <c r="D4" s="40"/>
    </row>
    <row r="5" spans="1:4">
      <c r="A5" s="41" t="s">
        <v>63</v>
      </c>
      <c r="B5" s="1">
        <v>123456789</v>
      </c>
      <c r="C5" s="17">
        <f>B5</f>
        <v>123456789</v>
      </c>
      <c r="D5" s="40" t="s">
        <v>64</v>
      </c>
    </row>
    <row r="6" spans="1:4">
      <c r="A6" s="41"/>
      <c r="B6" s="1">
        <v>0</v>
      </c>
      <c r="C6" s="17">
        <f>B6</f>
        <v>0</v>
      </c>
      <c r="D6" s="40"/>
    </row>
    <row r="7" spans="1:4">
      <c r="A7" s="41" t="s">
        <v>65</v>
      </c>
      <c r="B7" s="1">
        <v>123456789</v>
      </c>
      <c r="C7" s="18">
        <f t="shared" ref="C7:C11" si="0">B7</f>
        <v>123456789</v>
      </c>
      <c r="D7" s="40" t="s">
        <v>66</v>
      </c>
    </row>
    <row r="8" spans="1:4">
      <c r="A8" s="41"/>
      <c r="B8" s="1">
        <v>0</v>
      </c>
      <c r="C8" s="18">
        <f t="shared" si="0"/>
        <v>0</v>
      </c>
      <c r="D8" s="40"/>
    </row>
    <row r="9" spans="1:4">
      <c r="A9" s="1" t="s">
        <v>67</v>
      </c>
      <c r="B9" s="1">
        <v>123456789</v>
      </c>
      <c r="C9" s="19">
        <f t="shared" si="0"/>
        <v>123456789</v>
      </c>
      <c r="D9" s="20" t="s">
        <v>68</v>
      </c>
    </row>
    <row r="10" spans="1:4">
      <c r="A10" s="39" t="s">
        <v>69</v>
      </c>
      <c r="B10" s="1">
        <v>12.34</v>
      </c>
      <c r="C10" s="22">
        <f t="shared" si="0"/>
        <v>12.34</v>
      </c>
      <c r="D10" s="40" t="s">
        <v>70</v>
      </c>
    </row>
    <row r="11" spans="1:4">
      <c r="A11" s="39"/>
      <c r="B11" s="1">
        <v>12.3</v>
      </c>
      <c r="C11" s="22">
        <f t="shared" si="0"/>
        <v>12.3</v>
      </c>
      <c r="D11" s="40"/>
    </row>
    <row r="12" spans="1:4">
      <c r="A12" s="39" t="s">
        <v>71</v>
      </c>
      <c r="B12" s="21">
        <v>12345</v>
      </c>
      <c r="C12" s="25">
        <f t="shared" ref="C12:C14" si="1">B12</f>
        <v>12345</v>
      </c>
      <c r="D12" s="40" t="s">
        <v>72</v>
      </c>
    </row>
    <row r="13" spans="1:4">
      <c r="A13" s="39"/>
      <c r="B13" s="21">
        <v>0</v>
      </c>
      <c r="C13" s="25">
        <f t="shared" si="1"/>
        <v>0</v>
      </c>
      <c r="D13" s="40"/>
    </row>
    <row r="14" spans="1:4">
      <c r="A14" s="39"/>
      <c r="B14" s="21">
        <v>-12345</v>
      </c>
      <c r="C14" s="25">
        <f t="shared" si="1"/>
        <v>-12345</v>
      </c>
      <c r="D14" s="40"/>
    </row>
    <row r="15" spans="1:4">
      <c r="A15" s="39" t="s">
        <v>73</v>
      </c>
      <c r="B15" s="21">
        <v>120</v>
      </c>
      <c r="C15" s="26">
        <f t="shared" ref="C15:C18" si="2">B15</f>
        <v>120</v>
      </c>
      <c r="D15" s="40" t="s">
        <v>74</v>
      </c>
    </row>
    <row r="16" spans="1:4">
      <c r="A16" s="39"/>
      <c r="B16" s="21">
        <v>50</v>
      </c>
      <c r="C16" s="26">
        <f t="shared" si="2"/>
        <v>50</v>
      </c>
      <c r="D16" s="40"/>
    </row>
    <row r="17" spans="1:4">
      <c r="A17" s="39"/>
      <c r="B17" s="21">
        <v>20</v>
      </c>
      <c r="C17" s="26">
        <f t="shared" si="2"/>
        <v>20</v>
      </c>
      <c r="D17" s="40"/>
    </row>
    <row r="18" spans="1:4" ht="44.25" customHeight="1">
      <c r="A18" s="21" t="s">
        <v>75</v>
      </c>
      <c r="B18" s="21">
        <v>12</v>
      </c>
      <c r="C18" s="27">
        <f t="shared" si="2"/>
        <v>12</v>
      </c>
      <c r="D18" s="20" t="s">
        <v>76</v>
      </c>
    </row>
  </sheetData>
  <mergeCells count="11">
    <mergeCell ref="D2:D4"/>
    <mergeCell ref="A5:A6"/>
    <mergeCell ref="D5:D6"/>
    <mergeCell ref="A7:A8"/>
    <mergeCell ref="D7:D8"/>
    <mergeCell ref="A10:A11"/>
    <mergeCell ref="D10:D11"/>
    <mergeCell ref="A12:A14"/>
    <mergeCell ref="D12:D14"/>
    <mergeCell ref="A15:A17"/>
    <mergeCell ref="D15:D17"/>
  </mergeCells>
  <phoneticPr fontId="2"/>
  <pageMargins left="0.7" right="0.7" top="0.75" bottom="0.75" header="0.3" footer="0.3"/>
  <pageSetup paperSize="0" orientation="portrait" horizontalDpi="0" verticalDpi="0" copies="0"/>
  <ignoredErrors>
    <ignoredError sqref="A3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21D13-4459-4B32-8A16-290EFF429038}">
  <dimension ref="A1:P26"/>
  <sheetViews>
    <sheetView topLeftCell="B1" workbookViewId="0">
      <selection activeCell="F3" sqref="F3:F10"/>
    </sheetView>
  </sheetViews>
  <sheetFormatPr defaultRowHeight="18.75"/>
  <cols>
    <col min="1" max="1" width="8.88671875" customWidth="1"/>
    <col min="2" max="2" width="12.77734375" customWidth="1"/>
    <col min="3" max="3" width="31.6640625" customWidth="1"/>
    <col min="5" max="5" width="9.109375" customWidth="1"/>
    <col min="6" max="6" width="14.77734375" customWidth="1"/>
    <col min="7" max="7" width="13.109375" customWidth="1"/>
  </cols>
  <sheetData>
    <row r="1" spans="1:16">
      <c r="A1" s="4" t="s">
        <v>89</v>
      </c>
      <c r="E1" s="4" t="s">
        <v>98</v>
      </c>
      <c r="J1" s="4" t="s">
        <v>101</v>
      </c>
    </row>
    <row r="2" spans="1:16">
      <c r="A2" s="5" t="s">
        <v>77</v>
      </c>
      <c r="B2" s="5" t="s">
        <v>13</v>
      </c>
      <c r="C2" s="5" t="s">
        <v>78</v>
      </c>
      <c r="E2" s="29" t="s">
        <v>91</v>
      </c>
      <c r="F2" s="30" t="s">
        <v>13</v>
      </c>
      <c r="G2" s="30" t="s">
        <v>92</v>
      </c>
      <c r="J2" s="30" t="s">
        <v>91</v>
      </c>
      <c r="K2" s="30" t="s">
        <v>34</v>
      </c>
      <c r="L2" s="30" t="s">
        <v>41</v>
      </c>
      <c r="M2" s="30" t="s">
        <v>43</v>
      </c>
      <c r="N2" s="30" t="s">
        <v>44</v>
      </c>
      <c r="O2" s="30" t="s">
        <v>45</v>
      </c>
      <c r="P2" s="30" t="s">
        <v>46</v>
      </c>
    </row>
    <row r="3" spans="1:16">
      <c r="A3" s="24">
        <v>1001</v>
      </c>
      <c r="B3" s="24" t="s">
        <v>79</v>
      </c>
      <c r="C3" s="24" t="s">
        <v>80</v>
      </c>
      <c r="E3" s="24">
        <v>1</v>
      </c>
      <c r="F3" s="24" t="s">
        <v>93</v>
      </c>
      <c r="G3" s="24" t="s">
        <v>25</v>
      </c>
      <c r="J3" s="24">
        <v>1</v>
      </c>
      <c r="K3" s="24">
        <v>30</v>
      </c>
      <c r="L3" s="24" t="s">
        <v>102</v>
      </c>
      <c r="M3" s="24">
        <v>5</v>
      </c>
      <c r="N3" s="24">
        <v>4</v>
      </c>
      <c r="O3" s="24">
        <v>4</v>
      </c>
      <c r="P3" s="24">
        <v>2</v>
      </c>
    </row>
    <row r="4" spans="1:16">
      <c r="A4" s="24">
        <v>1002</v>
      </c>
      <c r="B4" s="24" t="s">
        <v>81</v>
      </c>
      <c r="C4" s="24" t="s">
        <v>82</v>
      </c>
      <c r="E4" s="24">
        <v>2</v>
      </c>
      <c r="F4" s="24" t="s">
        <v>94</v>
      </c>
      <c r="G4" s="24" t="s">
        <v>25</v>
      </c>
      <c r="J4" s="24">
        <v>2</v>
      </c>
      <c r="K4" s="24">
        <v>29</v>
      </c>
      <c r="L4" s="24" t="s">
        <v>103</v>
      </c>
      <c r="M4" s="24">
        <v>4</v>
      </c>
      <c r="N4" s="24">
        <v>3</v>
      </c>
      <c r="O4" s="24">
        <v>4</v>
      </c>
      <c r="P4" s="24">
        <v>5</v>
      </c>
    </row>
    <row r="5" spans="1:16">
      <c r="A5" s="24">
        <v>1003</v>
      </c>
      <c r="B5" s="24" t="s">
        <v>83</v>
      </c>
      <c r="C5" s="24" t="s">
        <v>84</v>
      </c>
      <c r="E5" s="24">
        <v>3</v>
      </c>
      <c r="F5" s="24" t="s">
        <v>95</v>
      </c>
      <c r="G5" s="24" t="s">
        <v>96</v>
      </c>
      <c r="J5" s="24">
        <v>3</v>
      </c>
      <c r="K5" s="24">
        <v>41</v>
      </c>
      <c r="L5" s="24" t="s">
        <v>102</v>
      </c>
      <c r="M5" s="24">
        <v>5</v>
      </c>
      <c r="N5" s="24">
        <v>2</v>
      </c>
      <c r="O5" s="24">
        <v>3</v>
      </c>
      <c r="P5" s="24">
        <v>2</v>
      </c>
    </row>
    <row r="6" spans="1:16">
      <c r="A6" s="24">
        <v>1004</v>
      </c>
      <c r="B6" s="24" t="s">
        <v>85</v>
      </c>
      <c r="C6" s="24" t="s">
        <v>86</v>
      </c>
      <c r="E6" s="24">
        <v>4</v>
      </c>
      <c r="F6" s="24" t="s">
        <v>97</v>
      </c>
      <c r="G6" s="24" t="s">
        <v>96</v>
      </c>
      <c r="J6" s="24">
        <v>4</v>
      </c>
      <c r="K6" s="24">
        <v>29</v>
      </c>
      <c r="L6" s="24" t="s">
        <v>103</v>
      </c>
      <c r="M6" s="24">
        <v>5</v>
      </c>
      <c r="N6" s="24">
        <v>3</v>
      </c>
      <c r="O6" s="24">
        <v>1</v>
      </c>
      <c r="P6" s="24">
        <v>5</v>
      </c>
    </row>
    <row r="7" spans="1:16">
      <c r="A7" s="24">
        <v>1005</v>
      </c>
      <c r="B7" s="24" t="s">
        <v>87</v>
      </c>
      <c r="C7" s="24" t="s">
        <v>88</v>
      </c>
      <c r="E7" s="24">
        <v>5</v>
      </c>
      <c r="F7" s="24" t="s">
        <v>93</v>
      </c>
      <c r="G7" s="24" t="s">
        <v>96</v>
      </c>
      <c r="J7" s="24">
        <v>5</v>
      </c>
      <c r="K7" s="24">
        <v>51</v>
      </c>
      <c r="L7" s="24" t="s">
        <v>102</v>
      </c>
      <c r="M7" s="24">
        <v>5</v>
      </c>
      <c r="N7" s="24">
        <v>5</v>
      </c>
      <c r="O7" s="24">
        <v>2</v>
      </c>
      <c r="P7" s="24">
        <v>5</v>
      </c>
    </row>
    <row r="8" spans="1:16">
      <c r="E8" s="24">
        <v>6</v>
      </c>
      <c r="F8" s="24" t="s">
        <v>93</v>
      </c>
      <c r="G8" s="24" t="s">
        <v>25</v>
      </c>
      <c r="J8" s="24">
        <v>6</v>
      </c>
      <c r="K8" s="24">
        <v>38</v>
      </c>
      <c r="L8" s="24" t="s">
        <v>103</v>
      </c>
      <c r="M8" s="24">
        <v>5</v>
      </c>
      <c r="N8" s="24">
        <v>5</v>
      </c>
      <c r="O8" s="24">
        <v>3</v>
      </c>
      <c r="P8" s="24">
        <v>1</v>
      </c>
    </row>
    <row r="9" spans="1:16">
      <c r="E9" s="24">
        <v>7</v>
      </c>
      <c r="F9" s="24" t="s">
        <v>99</v>
      </c>
      <c r="G9" s="24" t="s">
        <v>96</v>
      </c>
      <c r="J9" s="24">
        <v>7</v>
      </c>
      <c r="K9" s="24">
        <v>43</v>
      </c>
      <c r="L9" s="24" t="s">
        <v>102</v>
      </c>
      <c r="M9" s="24">
        <v>2</v>
      </c>
      <c r="N9" s="24">
        <v>2</v>
      </c>
      <c r="O9" s="24">
        <v>2</v>
      </c>
      <c r="P9" s="24">
        <v>3</v>
      </c>
    </row>
    <row r="10" spans="1:16">
      <c r="A10" s="4"/>
      <c r="E10" s="24">
        <v>8</v>
      </c>
      <c r="F10" s="24" t="s">
        <v>95</v>
      </c>
      <c r="G10" s="24" t="s">
        <v>96</v>
      </c>
      <c r="J10" s="24">
        <v>8</v>
      </c>
      <c r="K10" s="24">
        <v>25</v>
      </c>
      <c r="L10" s="24" t="s">
        <v>102</v>
      </c>
      <c r="M10" s="24">
        <v>1</v>
      </c>
      <c r="N10" s="24">
        <v>3</v>
      </c>
      <c r="O10" s="24">
        <v>3</v>
      </c>
      <c r="P10" s="24">
        <v>1</v>
      </c>
    </row>
    <row r="11" spans="1:16">
      <c r="E11" s="24">
        <v>9</v>
      </c>
      <c r="F11" s="24"/>
      <c r="G11" s="24"/>
    </row>
    <row r="12" spans="1:16">
      <c r="E12" s="24">
        <v>10</v>
      </c>
      <c r="F12" s="24"/>
      <c r="G12" s="24"/>
    </row>
    <row r="15" spans="1:16">
      <c r="E15" s="4" t="s">
        <v>100</v>
      </c>
    </row>
    <row r="16" spans="1:16">
      <c r="E16" s="29" t="s">
        <v>90</v>
      </c>
      <c r="F16" s="29" t="s">
        <v>13</v>
      </c>
      <c r="G16" s="29" t="s">
        <v>92</v>
      </c>
    </row>
    <row r="17" spans="5:7">
      <c r="E17" s="24">
        <v>1</v>
      </c>
      <c r="F17" s="24" t="s">
        <v>93</v>
      </c>
      <c r="G17" s="24" t="s">
        <v>25</v>
      </c>
    </row>
    <row r="18" spans="5:7">
      <c r="E18" s="24">
        <v>2</v>
      </c>
      <c r="F18" s="24" t="s">
        <v>94</v>
      </c>
      <c r="G18" s="24" t="s">
        <v>25</v>
      </c>
    </row>
    <row r="19" spans="5:7">
      <c r="E19" s="24">
        <v>3</v>
      </c>
      <c r="F19" s="24" t="s">
        <v>95</v>
      </c>
      <c r="G19" s="24" t="s">
        <v>96</v>
      </c>
    </row>
    <row r="20" spans="5:7">
      <c r="E20" s="24">
        <v>4</v>
      </c>
      <c r="F20" s="24" t="s">
        <v>97</v>
      </c>
      <c r="G20" s="24" t="s">
        <v>96</v>
      </c>
    </row>
    <row r="21" spans="5:7">
      <c r="E21" s="24">
        <v>5</v>
      </c>
      <c r="F21" s="24" t="s">
        <v>93</v>
      </c>
      <c r="G21" s="24" t="s">
        <v>96</v>
      </c>
    </row>
    <row r="22" spans="5:7">
      <c r="E22" s="24">
        <v>6</v>
      </c>
      <c r="F22" s="24" t="s">
        <v>93</v>
      </c>
      <c r="G22" s="24" t="s">
        <v>25</v>
      </c>
    </row>
    <row r="23" spans="5:7">
      <c r="E23" s="24">
        <v>7</v>
      </c>
      <c r="F23" s="24" t="s">
        <v>99</v>
      </c>
      <c r="G23" s="24" t="s">
        <v>96</v>
      </c>
    </row>
    <row r="24" spans="5:7">
      <c r="E24" s="24">
        <v>8</v>
      </c>
      <c r="F24" s="24" t="s">
        <v>95</v>
      </c>
      <c r="G24" s="24" t="s">
        <v>96</v>
      </c>
    </row>
    <row r="25" spans="5:7">
      <c r="E25" s="24">
        <v>9</v>
      </c>
      <c r="F25" s="24"/>
      <c r="G25" s="24"/>
    </row>
    <row r="26" spans="5:7">
      <c r="E26" s="24">
        <v>10</v>
      </c>
      <c r="F26" s="24"/>
      <c r="G26" s="24"/>
    </row>
  </sheetData>
  <phoneticPr fontId="2"/>
  <conditionalFormatting sqref="A3:C7">
    <cfRule type="expression" dxfId="12" priority="4">
      <formula>COUNTIF($C3, "東京都*区*")</formula>
    </cfRule>
  </conditionalFormatting>
  <conditionalFormatting sqref="E3:G12">
    <cfRule type="expression" dxfId="11" priority="3">
      <formula>COUNTIFS($F$3:$F$12, $F3, $G$3:$G$12, $G3)&gt;1</formula>
    </cfRule>
  </conditionalFormatting>
  <conditionalFormatting sqref="E17:G26">
    <cfRule type="expression" dxfId="10" priority="2">
      <formula>COUNTIFS($F$17:$F17, $F17, $G$17:$G17, $G17)&gt;1</formula>
    </cfRule>
  </conditionalFormatting>
  <conditionalFormatting sqref="J3:P10">
    <cfRule type="expression" dxfId="9" priority="1">
      <formula>MOD(ROW(), 2)=1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5F057-B73F-4270-A183-CE7A6DAD60E1}">
  <dimension ref="A1:O37"/>
  <sheetViews>
    <sheetView showGridLines="0" workbookViewId="0">
      <selection activeCell="N11" sqref="N11"/>
    </sheetView>
  </sheetViews>
  <sheetFormatPr defaultRowHeight="18.75"/>
  <cols>
    <col min="4" max="7" width="6.77734375" customWidth="1"/>
    <col min="10" max="10" width="8.6640625" customWidth="1"/>
    <col min="11" max="11" width="7.109375" customWidth="1"/>
    <col min="12" max="12" width="41.44140625" customWidth="1"/>
    <col min="15" max="15" width="34.77734375" customWidth="1"/>
  </cols>
  <sheetData>
    <row r="1" spans="1:15">
      <c r="A1" s="4" t="s">
        <v>104</v>
      </c>
      <c r="J1" s="4" t="s">
        <v>105</v>
      </c>
    </row>
    <row r="2" spans="1:15">
      <c r="A2" s="33" t="s">
        <v>91</v>
      </c>
      <c r="B2" s="33" t="s">
        <v>34</v>
      </c>
      <c r="C2" s="33" t="s">
        <v>41</v>
      </c>
      <c r="D2" s="33" t="s">
        <v>43</v>
      </c>
      <c r="E2" s="33" t="s">
        <v>44</v>
      </c>
      <c r="F2" s="33" t="s">
        <v>45</v>
      </c>
      <c r="G2" s="33" t="s">
        <v>46</v>
      </c>
      <c r="J2" s="29" t="s">
        <v>106</v>
      </c>
      <c r="K2" s="29" t="s">
        <v>107</v>
      </c>
      <c r="L2" s="29" t="s">
        <v>108</v>
      </c>
      <c r="N2" s="4" t="s">
        <v>117</v>
      </c>
    </row>
    <row r="3" spans="1:15">
      <c r="A3" s="10">
        <v>1</v>
      </c>
      <c r="B3" s="10"/>
      <c r="C3" s="10"/>
      <c r="D3" s="10"/>
      <c r="E3" s="10"/>
      <c r="F3" s="10"/>
      <c r="G3" s="10"/>
      <c r="J3" s="35">
        <v>44501</v>
      </c>
      <c r="K3" s="36" t="s">
        <v>110</v>
      </c>
      <c r="L3" s="28"/>
      <c r="N3" s="29" t="s">
        <v>106</v>
      </c>
      <c r="O3" s="29" t="s">
        <v>118</v>
      </c>
    </row>
    <row r="4" spans="1:15">
      <c r="A4">
        <v>2</v>
      </c>
      <c r="J4" s="35">
        <v>44502</v>
      </c>
      <c r="K4" s="36" t="s">
        <v>111</v>
      </c>
      <c r="L4" s="28"/>
      <c r="N4" s="38">
        <v>44503</v>
      </c>
      <c r="O4" s="28" t="s">
        <v>119</v>
      </c>
    </row>
    <row r="5" spans="1:15">
      <c r="A5">
        <v>3</v>
      </c>
      <c r="J5" s="35">
        <v>44503</v>
      </c>
      <c r="K5" s="36" t="s">
        <v>112</v>
      </c>
      <c r="L5" s="28"/>
      <c r="N5" s="38">
        <v>44523</v>
      </c>
      <c r="O5" s="28" t="s">
        <v>120</v>
      </c>
    </row>
    <row r="6" spans="1:15">
      <c r="A6" s="32">
        <v>4</v>
      </c>
      <c r="J6" s="35">
        <v>44504</v>
      </c>
      <c r="K6" s="36" t="s">
        <v>113</v>
      </c>
      <c r="L6" s="28"/>
      <c r="N6" s="37"/>
    </row>
    <row r="7" spans="1:15">
      <c r="A7" s="32">
        <v>5</v>
      </c>
      <c r="J7" s="35">
        <v>44505</v>
      </c>
      <c r="K7" s="36" t="s">
        <v>114</v>
      </c>
      <c r="L7" s="28"/>
    </row>
    <row r="8" spans="1:15">
      <c r="A8" s="32">
        <v>6</v>
      </c>
      <c r="J8" s="35">
        <v>44506</v>
      </c>
      <c r="K8" s="36" t="s">
        <v>115</v>
      </c>
      <c r="L8" s="28"/>
    </row>
    <row r="9" spans="1:15">
      <c r="A9" s="32">
        <v>7</v>
      </c>
      <c r="J9" s="35">
        <v>44507</v>
      </c>
      <c r="K9" s="36" t="s">
        <v>116</v>
      </c>
      <c r="L9" s="28"/>
    </row>
    <row r="10" spans="1:15">
      <c r="A10" s="32">
        <v>8</v>
      </c>
      <c r="J10" s="35">
        <v>44508</v>
      </c>
      <c r="K10" s="36" t="s">
        <v>109</v>
      </c>
      <c r="L10" s="28"/>
    </row>
    <row r="11" spans="1:15">
      <c r="A11" s="32">
        <v>9</v>
      </c>
      <c r="J11" s="35">
        <v>44509</v>
      </c>
      <c r="K11" s="36" t="s">
        <v>111</v>
      </c>
      <c r="L11" s="28"/>
    </row>
    <row r="12" spans="1:15">
      <c r="A12" s="32">
        <v>10</v>
      </c>
      <c r="J12" s="35">
        <v>44510</v>
      </c>
      <c r="K12" s="36" t="s">
        <v>112</v>
      </c>
      <c r="L12" s="28"/>
    </row>
    <row r="13" spans="1:15">
      <c r="A13" s="32">
        <v>11</v>
      </c>
      <c r="J13" s="35">
        <v>44511</v>
      </c>
      <c r="K13" s="36" t="s">
        <v>113</v>
      </c>
      <c r="L13" s="28"/>
    </row>
    <row r="14" spans="1:15">
      <c r="A14" s="32">
        <v>12</v>
      </c>
      <c r="J14" s="35">
        <v>44512</v>
      </c>
      <c r="K14" s="36" t="s">
        <v>114</v>
      </c>
      <c r="L14" s="28"/>
    </row>
    <row r="15" spans="1:15">
      <c r="A15" s="32"/>
      <c r="J15" s="35">
        <v>44513</v>
      </c>
      <c r="K15" s="36" t="s">
        <v>115</v>
      </c>
      <c r="L15" s="28"/>
    </row>
    <row r="16" spans="1:15">
      <c r="A16" s="32"/>
      <c r="J16" s="35">
        <v>44514</v>
      </c>
      <c r="K16" s="36" t="s">
        <v>116</v>
      </c>
      <c r="L16" s="28"/>
    </row>
    <row r="17" spans="1:12">
      <c r="A17" s="32"/>
      <c r="J17" s="35">
        <v>44515</v>
      </c>
      <c r="K17" s="36" t="s">
        <v>109</v>
      </c>
      <c r="L17" s="28"/>
    </row>
    <row r="18" spans="1:12">
      <c r="A18" s="32"/>
      <c r="J18" s="35">
        <v>44516</v>
      </c>
      <c r="K18" s="36" t="s">
        <v>111</v>
      </c>
      <c r="L18" s="28"/>
    </row>
    <row r="19" spans="1:12">
      <c r="A19" s="32"/>
      <c r="J19" s="35">
        <v>44517</v>
      </c>
      <c r="K19" s="36" t="s">
        <v>112</v>
      </c>
      <c r="L19" s="28"/>
    </row>
    <row r="20" spans="1:12">
      <c r="A20" s="32"/>
      <c r="J20" s="35">
        <v>44518</v>
      </c>
      <c r="K20" s="36" t="s">
        <v>113</v>
      </c>
      <c r="L20" s="28"/>
    </row>
    <row r="21" spans="1:12">
      <c r="A21" s="32"/>
      <c r="J21" s="35">
        <v>44519</v>
      </c>
      <c r="K21" s="36" t="s">
        <v>114</v>
      </c>
      <c r="L21" s="28"/>
    </row>
    <row r="22" spans="1:12">
      <c r="A22" s="32"/>
      <c r="J22" s="35">
        <v>44520</v>
      </c>
      <c r="K22" s="36" t="s">
        <v>115</v>
      </c>
      <c r="L22" s="28"/>
    </row>
    <row r="23" spans="1:12">
      <c r="J23" s="35">
        <v>44521</v>
      </c>
      <c r="K23" s="36" t="s">
        <v>116</v>
      </c>
      <c r="L23" s="28"/>
    </row>
    <row r="24" spans="1:12">
      <c r="J24" s="35">
        <v>44522</v>
      </c>
      <c r="K24" s="36" t="s">
        <v>109</v>
      </c>
      <c r="L24" s="28"/>
    </row>
    <row r="25" spans="1:12">
      <c r="J25" s="35">
        <v>44523</v>
      </c>
      <c r="K25" s="36" t="s">
        <v>111</v>
      </c>
      <c r="L25" s="28"/>
    </row>
    <row r="26" spans="1:12">
      <c r="J26" s="35">
        <v>44524</v>
      </c>
      <c r="K26" s="36" t="s">
        <v>112</v>
      </c>
      <c r="L26" s="28"/>
    </row>
    <row r="27" spans="1:12">
      <c r="J27" s="35">
        <v>44525</v>
      </c>
      <c r="K27" s="36" t="s">
        <v>113</v>
      </c>
      <c r="L27" s="28"/>
    </row>
    <row r="28" spans="1:12">
      <c r="J28" s="35">
        <v>44526</v>
      </c>
      <c r="K28" s="36" t="s">
        <v>114</v>
      </c>
      <c r="L28" s="28"/>
    </row>
    <row r="29" spans="1:12">
      <c r="J29" s="35">
        <v>44527</v>
      </c>
      <c r="K29" s="36" t="s">
        <v>115</v>
      </c>
      <c r="L29" s="28"/>
    </row>
    <row r="30" spans="1:12">
      <c r="J30" s="35">
        <v>44528</v>
      </c>
      <c r="K30" s="36" t="s">
        <v>116</v>
      </c>
      <c r="L30" s="28"/>
    </row>
    <row r="31" spans="1:12">
      <c r="J31" s="35">
        <v>44529</v>
      </c>
      <c r="K31" s="36" t="s">
        <v>109</v>
      </c>
      <c r="L31" s="28"/>
    </row>
    <row r="32" spans="1:12">
      <c r="J32" s="35">
        <v>44530</v>
      </c>
      <c r="K32" s="36" t="s">
        <v>111</v>
      </c>
      <c r="L32" s="28"/>
    </row>
    <row r="33" spans="10:10">
      <c r="J33" s="34"/>
    </row>
    <row r="34" spans="10:10">
      <c r="J34" s="34"/>
    </row>
    <row r="35" spans="10:10">
      <c r="J35" s="34"/>
    </row>
    <row r="36" spans="10:10">
      <c r="J36" s="34"/>
    </row>
    <row r="37" spans="10:10">
      <c r="J37" s="34"/>
    </row>
  </sheetData>
  <phoneticPr fontId="2"/>
  <conditionalFormatting sqref="A3:G1048576">
    <cfRule type="expression" dxfId="8" priority="5">
      <formula>OR($A3:$G3&lt;&gt;"")</formula>
    </cfRule>
    <cfRule type="expression" dxfId="7" priority="4">
      <formula>AND(OR($A3:$G3&lt;&gt;""), MOD(ROW(), 5)=2)</formula>
    </cfRule>
  </conditionalFormatting>
  <conditionalFormatting sqref="J3:L32">
    <cfRule type="expression" dxfId="6" priority="3">
      <formula>$K3="土"</formula>
    </cfRule>
    <cfRule type="expression" dxfId="5" priority="2">
      <formula>$K3="日"</formula>
    </cfRule>
    <cfRule type="expression" dxfId="4" priority="1">
      <formula>COUNTIF($N$4:$N$5, $J3)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B77DB-FAE2-4105-829B-C4C7370E3687}">
  <dimension ref="A1:N10"/>
  <sheetViews>
    <sheetView tabSelected="1" workbookViewId="0"/>
  </sheetViews>
  <sheetFormatPr defaultRowHeight="18.75"/>
  <cols>
    <col min="1" max="1" width="11.77734375" customWidth="1"/>
    <col min="2" max="3" width="12.5546875" customWidth="1"/>
    <col min="10" max="11" width="14" customWidth="1"/>
    <col min="12" max="12" width="3.109375" customWidth="1"/>
    <col min="13" max="13" width="14.33203125" customWidth="1"/>
  </cols>
  <sheetData>
    <row r="1" spans="1:14">
      <c r="A1" s="4" t="s">
        <v>121</v>
      </c>
      <c r="I1" s="4" t="s">
        <v>129</v>
      </c>
    </row>
    <row r="2" spans="1:14">
      <c r="A2" s="29" t="s">
        <v>122</v>
      </c>
      <c r="B2" s="29" t="s">
        <v>123</v>
      </c>
      <c r="C2" s="29" t="s">
        <v>124</v>
      </c>
      <c r="F2" t="s">
        <v>125</v>
      </c>
      <c r="I2" s="29" t="s">
        <v>77</v>
      </c>
      <c r="J2" s="29" t="s">
        <v>13</v>
      </c>
      <c r="K2" s="29" t="s">
        <v>130</v>
      </c>
      <c r="N2" t="b">
        <v>1</v>
      </c>
    </row>
    <row r="3" spans="1:14">
      <c r="A3" s="42">
        <v>44287</v>
      </c>
      <c r="B3" s="31" t="s">
        <v>125</v>
      </c>
      <c r="C3" s="43">
        <v>211000</v>
      </c>
      <c r="F3" t="s">
        <v>126</v>
      </c>
      <c r="I3" s="31">
        <v>1001</v>
      </c>
      <c r="J3" s="31" t="s">
        <v>93</v>
      </c>
      <c r="K3" s="31" t="s">
        <v>134</v>
      </c>
      <c r="N3" t="b">
        <v>0</v>
      </c>
    </row>
    <row r="4" spans="1:14">
      <c r="A4" s="42">
        <v>44287</v>
      </c>
      <c r="B4" s="31" t="s">
        <v>125</v>
      </c>
      <c r="C4" s="43">
        <v>176000</v>
      </c>
      <c r="F4" t="s">
        <v>127</v>
      </c>
      <c r="I4" s="31">
        <v>1002</v>
      </c>
      <c r="J4" s="31" t="s">
        <v>94</v>
      </c>
      <c r="K4" s="31" t="s">
        <v>135</v>
      </c>
      <c r="N4" t="b">
        <v>0</v>
      </c>
    </row>
    <row r="5" spans="1:14">
      <c r="A5" s="42">
        <v>44289</v>
      </c>
      <c r="B5" s="31" t="s">
        <v>126</v>
      </c>
      <c r="C5" s="43">
        <v>99000</v>
      </c>
      <c r="F5" t="s">
        <v>128</v>
      </c>
      <c r="I5" s="31">
        <v>1003</v>
      </c>
      <c r="J5" s="31" t="s">
        <v>95</v>
      </c>
      <c r="K5" s="31" t="s">
        <v>136</v>
      </c>
    </row>
    <row r="6" spans="1:14">
      <c r="A6" s="42">
        <v>44291</v>
      </c>
      <c r="B6" s="31" t="s">
        <v>127</v>
      </c>
      <c r="C6" s="43">
        <v>105000</v>
      </c>
      <c r="I6" s="31">
        <v>1004</v>
      </c>
      <c r="J6" s="31" t="s">
        <v>97</v>
      </c>
      <c r="K6" s="31" t="s">
        <v>135</v>
      </c>
    </row>
    <row r="7" spans="1:14">
      <c r="A7" s="42">
        <v>44291</v>
      </c>
      <c r="B7" s="31" t="s">
        <v>125</v>
      </c>
      <c r="C7" s="43">
        <v>93000</v>
      </c>
      <c r="F7">
        <v>3</v>
      </c>
      <c r="I7" s="31">
        <v>1005</v>
      </c>
      <c r="J7" s="31" t="s">
        <v>131</v>
      </c>
      <c r="K7" s="31" t="s">
        <v>135</v>
      </c>
    </row>
    <row r="8" spans="1:14">
      <c r="A8" s="42">
        <v>44293</v>
      </c>
      <c r="B8" s="31" t="s">
        <v>126</v>
      </c>
      <c r="C8" s="43">
        <v>248000</v>
      </c>
      <c r="I8" s="31">
        <v>1006</v>
      </c>
      <c r="J8" s="31" t="s">
        <v>132</v>
      </c>
      <c r="K8" s="31" t="s">
        <v>136</v>
      </c>
    </row>
    <row r="9" spans="1:14">
      <c r="I9" s="31">
        <v>1007</v>
      </c>
      <c r="J9" s="31" t="s">
        <v>99</v>
      </c>
      <c r="K9" s="31" t="s">
        <v>136</v>
      </c>
    </row>
    <row r="10" spans="1:14">
      <c r="I10" s="31">
        <v>1008</v>
      </c>
      <c r="J10" s="31" t="s">
        <v>133</v>
      </c>
      <c r="K10" s="31" t="s">
        <v>134</v>
      </c>
    </row>
  </sheetData>
  <phoneticPr fontId="2"/>
  <conditionalFormatting sqref="A3:C1048576">
    <cfRule type="expression" dxfId="3" priority="4">
      <formula>$B3=INDEX($F$2:$F$5, $F$7)</formula>
    </cfRule>
  </conditionalFormatting>
  <conditionalFormatting sqref="I1:K1048576">
    <cfRule type="expression" dxfId="2" priority="3">
      <formula>AND($K1="ゴールド", $N$2)</formula>
    </cfRule>
    <cfRule type="expression" dxfId="1" priority="2">
      <formula>AND($K1="シルバー", $N$3)</formula>
    </cfRule>
    <cfRule type="expression" dxfId="0" priority="1">
      <formula>AND($K1="ブロンズ", $N$4)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List Box 1">
              <controlPr defaultSize="0" autoLine="0" autoPict="0">
                <anchor moveWithCells="1">
                  <from>
                    <xdr:col>3</xdr:col>
                    <xdr:colOff>142875</xdr:colOff>
                    <xdr:row>1</xdr:row>
                    <xdr:rowOff>0</xdr:rowOff>
                  </from>
                  <to>
                    <xdr:col>4</xdr:col>
                    <xdr:colOff>590550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4</vt:i4>
      </vt:variant>
    </vt:vector>
  </HeadingPairs>
  <TitlesOfParts>
    <vt:vector size="12" baseType="lpstr">
      <vt:lpstr>入力モード切替</vt:lpstr>
      <vt:lpstr>2つの入力リストを連動</vt:lpstr>
      <vt:lpstr>コントロール</vt:lpstr>
      <vt:lpstr>コントロールの入力内容をシートに転記</vt:lpstr>
      <vt:lpstr>書式設定</vt:lpstr>
      <vt:lpstr>条件付き書式1</vt:lpstr>
      <vt:lpstr>条件付き書式2</vt:lpstr>
      <vt:lpstr>条件付き書式3</vt:lpstr>
      <vt:lpstr>営業部</vt:lpstr>
      <vt:lpstr>管理部</vt:lpstr>
      <vt:lpstr>経営戦略部</vt:lpstr>
      <vt:lpstr>生産部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2021-09-08T12:06:46Z</dcterms:created>
  <dcterms:modified xsi:type="dcterms:W3CDTF">2021-09-09T23:50:49Z</dcterms:modified>
</cp:coreProperties>
</file>